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a7da50634841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" sheetId="1" r:id="R75ac3d86fe3244b3"/>
    <x:sheet xmlns:r="http://schemas.openxmlformats.org/officeDocument/2006/relationships" name="Content-Pipeline" sheetId="2" r:id="Rb5f29921a4a64b21"/>
    <x:sheet xmlns:r="http://schemas.openxmlformats.org/officeDocument/2006/relationships" name="Dashboard" sheetId="3" r:id="Re7129eb879324950"/>
    <x:sheet xmlns:r="http://schemas.openxmlformats.org/officeDocument/2006/relationships" name="Listen" sheetId="4" r:id="R44b9cb964d1e42f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 hh:mm"/>
    <x:numFmt numFmtId="201" formatCode="#,##0"/>
    <x:numFmt numFmtId="202" formatCode="€#,##0.00"/>
    <x:numFmt numFmtId="203" formatCode="0.0%"/>
  </x:numFmts>
  <x:fonts count="15">
    <x:font>
      <x:sz val="11"/>
      <x:name val="Carlito"/>
    </x:font>
    <x:font>
      <x:b/>
      <x:sz val="24"/>
      <x:color rgb="FFFFFFFF"/>
      <x:name val="Aptos Display"/>
    </x:font>
    <x:font>
      <x:sz val="12"/>
      <x:color rgb="FF2F5BFF"/>
      <x:name val="Aptos"/>
    </x:font>
    <x:font>
      <x:b/>
      <x:sz val="13"/>
      <x:color rgb="FFFFFFFF"/>
      <x:name val="Aptos"/>
    </x:font>
    <x:font>
      <x:b/>
      <x:sz val="14"/>
      <x:color rgb="FF2F5BFF"/>
      <x:name val="Aptos"/>
    </x:font>
    <x:font>
      <x:b/>
      <x:sz val="11"/>
      <x:color rgb="FF111820"/>
      <x:name val="Aptos"/>
    </x:font>
    <x:font>
      <x:sz val="11"/>
      <x:color rgb="FF111820"/>
      <x:name val="Aptos"/>
    </x:font>
    <x:font>
      <x:b/>
      <x:sz val="11"/>
      <x:color rgb="FF1F9D68"/>
      <x:name val="Aptos"/>
    </x:font>
    <x:font>
      <x:b/>
      <x:sz val="11"/>
      <x:color rgb="FFFFFFFF"/>
      <x:name val="Aptos"/>
    </x:font>
    <x:font>
      <x:b/>
      <x:sz val="22"/>
      <x:color rgb="FFFFFFFF"/>
      <x:name val="Aptos Display"/>
    </x:font>
    <x:font>
      <x:sz val="11"/>
      <x:color rgb="FF2F5BFF"/>
      <x:name val="Aptos"/>
    </x:font>
    <x:font>
      <x:b/>
      <x:sz val="10"/>
      <x:color rgb="FFFFFFFF"/>
      <x:name val="Aptos"/>
    </x:font>
    <x:font>
      <x:sz val="10"/>
      <x:color rgb="FF111820"/>
      <x:name val="Aptos"/>
    </x:font>
    <x:font>
      <x:b/>
      <x:sz val="20"/>
      <x:color rgb="FF111820"/>
      <x:name val="Aptos"/>
    </x:font>
    <x:font>
      <x:b/>
      <x:sz val="11"/>
      <x:color rgb="FF2F5BFF"/>
      <x:name val="Aptos"/>
    </x:font>
  </x:fonts>
  <x:fills count="13">
    <x:fill>
      <x:patternFill patternType="none"/>
    </x:fill>
    <x:fill>
      <x:patternFill patternType="gray125"/>
    </x:fill>
    <x:fill>
      <x:patternFill patternType="solid">
        <x:fgColor rgb="FF111820"/>
      </x:patternFill>
    </x:fill>
    <x:fill>
      <x:patternFill patternType="solid">
        <x:fgColor rgb="FFE9EEFF"/>
      </x:patternFill>
    </x:fill>
    <x:fill>
      <x:patternFill patternType="solid">
        <x:fgColor rgb="FF2F5BFF"/>
      </x:patternFill>
    </x:fill>
    <x:fill>
      <x:patternFill patternType="solid">
        <x:fgColor rgb="FFFF7A45"/>
      </x:patternFill>
    </x:fill>
    <x:fill>
      <x:patternFill patternType="solid">
        <x:fgColor rgb="FFFFF1EA"/>
      </x:patternFill>
    </x:fill>
    <x:fill>
      <x:patternFill patternType="solid">
        <x:fgColor rgb="FFE7F7F0"/>
      </x:patternFill>
    </x:fill>
    <x:fill>
      <x:patternFill patternType="solid">
        <x:fgColor rgb="FFFFF6D9"/>
      </x:patternFill>
    </x:fill>
    <x:fill>
      <x:patternFill patternType="solid">
        <x:fgColor rgb="FFF7F8FA"/>
      </x:patternFill>
    </x:fill>
    <x:fill>
      <x:patternFill patternType="solid">
        <x:fgColor rgb="FFF5B942"/>
      </x:patternFill>
    </x:fill>
    <x:fill>
      <x:patternFill patternType="solid">
        <x:fgColor rgb="FF1F9D68"/>
      </x:patternFill>
    </x:fill>
    <x:fill>
      <x:patternFill patternType="solid">
        <x:fgColor rgb="FFFFFFFF"/>
      </x:patternFill>
    </x:fill>
  </x:fills>
  <x:borders count="18">
    <x:border/>
    <x:border>
      <x:bottom style="thin">
        <x:color rgb="FFCBD2DC"/>
      </x:bottom>
    </x:border>
    <x:border>
      <x:top style="thin">
        <x:color rgb="FFCBD2DC"/>
      </x:top>
      <x:bottom style="thin">
        <x:color rgb="FFCBD2DC"/>
      </x:bottom>
    </x:border>
    <x:border>
      <x:left style="thin">
        <x:color rgb="FFFF7A45"/>
      </x:left>
      <x:top style="thin">
        <x:color rgb="FFFF7A45"/>
      </x:top>
    </x:border>
    <x:border>
      <x:top style="thin">
        <x:color rgb="FFFF7A45"/>
      </x:top>
    </x:border>
    <x:border>
      <x:right style="thin">
        <x:color rgb="FFFF7A45"/>
      </x:right>
      <x:top style="thin">
        <x:color rgb="FFFF7A45"/>
      </x:top>
    </x:border>
    <x:border>
      <x:left style="thin">
        <x:color rgb="FFFF7A45"/>
      </x:left>
    </x:border>
    <x:border>
      <x:right style="thin">
        <x:color rgb="FFFF7A45"/>
      </x:right>
    </x:border>
    <x:border>
      <x:left style="thin">
        <x:color rgb="FFFF7A45"/>
      </x:left>
      <x:bottom style="thin">
        <x:color rgb="FFFF7A45"/>
      </x:bottom>
    </x:border>
    <x:border>
      <x:bottom style="thin">
        <x:color rgb="FFFF7A45"/>
      </x:bottom>
    </x:border>
    <x:border>
      <x:right style="thin">
        <x:color rgb="FFFF7A45"/>
      </x:right>
      <x:bottom style="thin">
        <x:color rgb="FFFF7A45"/>
      </x:bottom>
    </x:border>
    <x:border>
      <x:left style="thin">
        <x:color rgb="FFCBD2DC"/>
      </x:left>
      <x:top style="thin">
        <x:color rgb="FFCBD2DC"/>
      </x:top>
    </x:border>
    <x:border>
      <x:right style="thin">
        <x:color rgb="FFCBD2DC"/>
      </x:right>
      <x:top style="thin">
        <x:color rgb="FFCBD2DC"/>
      </x:top>
    </x:border>
    <x:border>
      <x:left style="thin">
        <x:color rgb="FFCBD2DC"/>
      </x:left>
    </x:border>
    <x:border>
      <x:right style="thin">
        <x:color rgb="FFCBD2DC"/>
      </x:right>
    </x:border>
    <x:border>
      <x:left style="thin">
        <x:color rgb="FFCBD2DC"/>
      </x:left>
      <x:bottom style="thin">
        <x:color rgb="FFCBD2DC"/>
      </x:bottom>
    </x:border>
    <x:border>
      <x:right style="thin">
        <x:color rgb="FFCBD2DC"/>
      </x:right>
      <x:bottom style="thin">
        <x:color rgb="FFCBD2DC"/>
      </x:bottom>
    </x:border>
    <x:border>
      <x:top style="thin">
        <x:color rgb="FFCBD2DC"/>
      </x:top>
    </x:border>
  </x:borders>
  <x:cellStyleXfs count="1">
    <x:xf numFmtId="0" fontId="0" fillId="0" borderId="0"/>
  </x:cellStyleXfs>
  <x:cellXfs count="17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horizontal="center"/>
    </x:xf>
    <x:xf numFmtId="0" fontId="4" fillId="3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center" wrapText="1"/>
    </x:xf>
    <x:xf numFmtId="0" fontId="4" fillId="3" borderId="1" xfId="0" applyNumberFormat="1" applyFont="1" applyFill="1" applyBorder="1" applyAlignment="1">
      <x:alignment horizontal="center" vertical="center"/>
    </x:xf>
    <x:xf numFmtId="0" fontId="5" fillId="0" borderId="1" xfId="0" applyNumberFormat="1" applyFont="1" applyFill="1" applyBorder="1" applyAlignment="1">
      <x:alignment vertical="center"/>
    </x:xf>
    <x:xf numFmtId="0" fontId="6" fillId="0" borderId="1" xfId="0" applyNumberFormat="1" applyFont="1" applyFill="1" applyBorder="1" applyAlignment="1">
      <x:alignment vertical="center" wrapText="1"/>
    </x:xf>
    <x:xf numFmtId="0" fontId="4" fillId="3" borderId="2" xfId="0" applyNumberFormat="1" applyFont="1" applyFill="1" applyBorder="1" applyAlignment="1">
      <x:alignment horizontal="center" vertical="center"/>
    </x:xf>
    <x:xf numFmtId="0" fontId="5" fillId="0" borderId="2" xfId="0" applyNumberFormat="1" applyFont="1" applyFill="1" applyBorder="1" applyAlignment="1">
      <x:alignment vertical="center"/>
    </x:xf>
    <x:xf numFmtId="0" fontId="6" fillId="0" borderId="2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3" xfId="0" applyNumberFormat="1" applyFont="1" applyFill="1" applyBorder="1"/>
    <x:xf numFmtId="0" fontId="6" fillId="6" borderId="4" xfId="0" applyNumberFormat="1" applyFont="1" applyFill="1" applyBorder="1"/>
    <x:xf numFmtId="0" fontId="6" fillId="6" borderId="5" xfId="0" applyNumberFormat="1" applyFont="1" applyFill="1" applyBorder="1"/>
    <x:xf numFmtId="0" fontId="6" fillId="6" borderId="6" xfId="0" applyNumberFormat="1" applyFont="1" applyFill="1" applyBorder="1"/>
    <x:xf numFmtId="0" fontId="6" fillId="6" borderId="7" xfId="0" applyNumberFormat="1" applyFont="1" applyFill="1" applyBorder="1"/>
    <x:xf numFmtId="0" fontId="6" fillId="6" borderId="8" xfId="0" applyNumberFormat="1" applyFont="1" applyFill="1" applyBorder="1"/>
    <x:xf numFmtId="0" fontId="6" fillId="6" borderId="9" xfId="0" applyNumberFormat="1" applyFont="1" applyFill="1" applyBorder="1"/>
    <x:xf numFmtId="0" fontId="6" fillId="6" borderId="10" xfId="0" applyNumberFormat="1" applyFont="1" applyFill="1" applyBorder="1"/>
    <x:xf numFmtId="0" fontId="6" fillId="6" borderId="3" xfId="0" applyNumberFormat="1" applyFont="1" applyFill="1" applyBorder="1" applyAlignment="1">
      <x:alignment wrapText="1"/>
    </x:xf>
    <x:xf numFmtId="0" fontId="6" fillId="6" borderId="4" xfId="0" applyNumberFormat="1" applyFont="1" applyFill="1" applyBorder="1" applyAlignment="1">
      <x:alignment wrapText="1"/>
    </x:xf>
    <x:xf numFmtId="0" fontId="6" fillId="6" borderId="5" xfId="0" applyNumberFormat="1" applyFont="1" applyFill="1" applyBorder="1" applyAlignment="1">
      <x:alignment wrapText="1"/>
    </x:xf>
    <x:xf numFmtId="0" fontId="6" fillId="6" borderId="6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wrapText="1"/>
    </x:xf>
    <x:xf numFmtId="0" fontId="6" fillId="6" borderId="7" xfId="0" applyNumberFormat="1" applyFont="1" applyFill="1" applyBorder="1" applyAlignment="1">
      <x:alignment wrapText="1"/>
    </x:xf>
    <x:xf numFmtId="0" fontId="6" fillId="6" borderId="8" xfId="0" applyNumberFormat="1" applyFont="1" applyFill="1" applyBorder="1" applyAlignment="1">
      <x:alignment wrapText="1"/>
    </x:xf>
    <x:xf numFmtId="0" fontId="6" fillId="6" borderId="9" xfId="0" applyNumberFormat="1" applyFont="1" applyFill="1" applyBorder="1" applyAlignment="1">
      <x:alignment wrapText="1"/>
    </x:xf>
    <x:xf numFmtId="0" fontId="6" fillId="6" borderId="10" xfId="0" applyNumberFormat="1" applyFont="1" applyFill="1" applyBorder="1" applyAlignment="1">
      <x:alignment wrapText="1"/>
    </x:xf>
    <x:xf numFmtId="0" fontId="6" fillId="6" borderId="3" xfId="0" applyNumberFormat="1" applyFont="1" applyFill="1" applyBorder="1" applyAlignment="1">
      <x:alignment vertical="center" wrapText="1"/>
    </x:xf>
    <x:xf numFmtId="0" fontId="6" fillId="6" borderId="4" xfId="0" applyNumberFormat="1" applyFont="1" applyFill="1" applyBorder="1" applyAlignment="1">
      <x:alignment vertical="center" wrapText="1"/>
    </x:xf>
    <x:xf numFmtId="0" fontId="6" fillId="6" borderId="5" xfId="0" applyNumberFormat="1" applyFont="1" applyFill="1" applyBorder="1" applyAlignment="1">
      <x:alignment vertical="center" wrapText="1"/>
    </x:xf>
    <x:xf numFmtId="0" fontId="6" fillId="6" borderId="6" xfId="0" applyNumberFormat="1" applyFont="1" applyFill="1" applyBorder="1" applyAlignment="1">
      <x:alignment vertical="center" wrapText="1"/>
    </x:xf>
    <x:xf numFmtId="0" fontId="6" fillId="6" borderId="0" xfId="0" applyNumberFormat="1" applyFont="1" applyFill="1" applyBorder="1" applyAlignment="1">
      <x:alignment vertical="center" wrapText="1"/>
    </x:xf>
    <x:xf numFmtId="0" fontId="6" fillId="6" borderId="7" xfId="0" applyNumberFormat="1" applyFont="1" applyFill="1" applyBorder="1" applyAlignment="1">
      <x:alignment vertical="center" wrapText="1"/>
    </x:xf>
    <x:xf numFmtId="0" fontId="6" fillId="6" borderId="8" xfId="0" applyNumberFormat="1" applyFont="1" applyFill="1" applyBorder="1" applyAlignment="1">
      <x:alignment vertical="center" wrapText="1"/>
    </x:xf>
    <x:xf numFmtId="0" fontId="6" fillId="6" borderId="9" xfId="0" applyNumberFormat="1" applyFont="1" applyFill="1" applyBorder="1" applyAlignment="1">
      <x:alignment vertical="center" wrapText="1"/>
    </x:xf>
    <x:xf numFmtId="0" fontId="6" fillId="6" borderId="1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horizontal="left" vertical="center"/>
    </x:xf>
    <x:xf numFmtId="0" fontId="6" fillId="3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/>
    </x:xf>
    <x:xf numFmtId="0" fontId="5" fillId="3" borderId="1" xfId="0" applyNumberFormat="1" applyFont="1" applyFill="1" applyBorder="1" applyAlignment="1">
      <x:alignment horizontal="center" vertical="center"/>
    </x:xf>
    <x:xf numFmtId="0" fontId="5" fillId="3" borderId="2" xfId="0" applyNumberFormat="1" applyFont="1" applyFill="1" applyBorder="1" applyAlignment="1">
      <x:alignment horizontal="center" vertical="center"/>
    </x:xf>
    <x:xf numFmtId="0" fontId="5" fillId="5" borderId="0" xfId="0" applyNumberFormat="1" applyFont="1" applyFill="1" applyBorder="1"/>
    <x:xf numFmtId="0" fontId="5" fillId="7" borderId="0" xfId="0" applyNumberFormat="1" applyFont="1" applyFill="1" applyBorder="1" applyAlignment="1">
      <x:alignment vertical="center"/>
    </x:xf>
    <x:xf numFmtId="0" fontId="8" fillId="2" borderId="0" xfId="0" applyNumberFormat="1" applyFont="1" applyFill="1" applyBorder="1"/>
    <x:xf numFmtId="0" fontId="9" fillId="2" borderId="0" xfId="0" applyNumberFormat="1" applyFont="1" applyFill="1" applyBorder="1"/>
    <x:xf numFmtId="0" fontId="9" fillId="2" borderId="0" xfId="0" applyNumberFormat="1" applyFont="1" applyFill="1" applyBorder="1" applyAlignment="1">
      <x:alignment vertical="center"/>
    </x:xf>
    <x:xf numFmtId="0" fontId="10" fillId="3" borderId="0" xfId="0" applyNumberFormat="1" applyFont="1" applyFill="1" applyBorder="1"/>
    <x:xf numFmtId="0" fontId="10" fillId="3" borderId="0" xfId="0" applyNumberFormat="1" applyFont="1" applyFill="1" applyBorder="1" applyAlignment="1">
      <x:alignment vertical="center"/>
    </x:xf>
    <x:xf numFmtId="0" fontId="11" fillId="4" borderId="0" xfId="0" applyNumberFormat="1" applyFont="1" applyFill="1" applyBorder="1"/>
    <x:xf numFmtId="0" fontId="11" fillId="4" borderId="0" xfId="0" applyNumberFormat="1" applyFont="1" applyFill="1" applyBorder="1" applyAlignment="1">
      <x:alignment wrapText="1"/>
    </x:xf>
    <x:xf numFmtId="0" fontId="11" fillId="4" borderId="0" xfId="0" applyNumberFormat="1" applyFont="1" applyFill="1" applyBorder="1" applyAlignment="1">
      <x:alignment vertical="center" wrapText="1"/>
    </x:xf>
    <x:xf numFmtId="0" fontId="12" fillId="0" borderId="0" xfId="0" applyNumberFormat="1" applyFont="1" applyFill="1" applyBorder="1"/>
    <x:xf numFmtId="0" fontId="12" fillId="0" borderId="0" xfId="0" applyNumberFormat="1" applyFont="1" applyFill="1" applyBorder="1" applyAlignment="1">
      <x:alignment vertical="top"/>
    </x:xf>
    <x:xf numFmtId="0" fontId="12" fillId="8" borderId="0" xfId="0" applyNumberFormat="1" applyFont="1" applyFill="1" applyBorder="1" applyAlignment="1">
      <x:alignment vertical="top"/>
    </x:xf>
    <x:xf numFmtId="0" fontId="12" fillId="9" borderId="0" xfId="0" applyNumberFormat="1" applyFont="1" applyFill="1" applyBorder="1" applyAlignment="1">
      <x:alignment vertical="top"/>
    </x:xf>
    <x:xf numFmtId="0" fontId="12" fillId="8" borderId="0" xfId="0" applyNumberFormat="1" applyFont="1" applyFill="1" applyBorder="1" applyAlignment="1">
      <x:alignment vertical="top" wrapText="1"/>
    </x:xf>
    <x:xf numFmtId="200" fontId="12" fillId="8" borderId="0" xfId="0" applyNumberFormat="1" applyFont="1" applyFill="1" applyBorder="1" applyAlignment="1">
      <x:alignment vertical="top"/>
    </x:xf>
    <x:xf numFmtId="201" fontId="12" fillId="9" borderId="0" xfId="0" applyNumberFormat="1" applyFont="1" applyFill="1" applyBorder="1" applyAlignment="1">
      <x:alignment vertical="top"/>
    </x:xf>
    <x:xf numFmtId="202" fontId="12" fillId="9" borderId="0" xfId="0" applyNumberFormat="1" applyFont="1" applyFill="1" applyBorder="1" applyAlignment="1">
      <x:alignment vertical="top"/>
    </x:xf>
    <x:xf numFmtId="202" fontId="0" fillId="0" borderId="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202" fontId="0" fillId="0" borderId="13" xfId="0" applyNumberFormat="1" applyFont="1" applyFill="1" applyBorder="1"/>
    <x:xf numFmtId="202" fontId="0" fillId="0" borderId="14" xfId="0" applyNumberFormat="1" applyFont="1" applyFill="1" applyBorder="1"/>
    <x:xf numFmtId="202" fontId="0" fillId="0" borderId="15" xfId="0" applyNumberFormat="1" applyFont="1" applyFill="1" applyBorder="1"/>
    <x:xf numFmtId="202" fontId="0" fillId="0" borderId="16" xfId="0" applyNumberFormat="1" applyFont="1" applyFill="1" applyBorder="1"/>
    <x:xf numFmtId="0" fontId="0" fillId="4" borderId="11" xfId="0" applyNumberFormat="1" applyFont="1" applyFill="1" applyBorder="1"/>
    <x:xf numFmtId="0" fontId="0" fillId="4" borderId="12" xfId="0" applyNumberFormat="1" applyFont="1" applyFill="1" applyBorder="1"/>
    <x:xf numFmtId="0" fontId="8" fillId="4" borderId="11" xfId="0" applyNumberFormat="1" applyFont="1" applyFill="1" applyBorder="1"/>
    <x:xf numFmtId="0" fontId="8" fillId="4" borderId="12" xfId="0" applyNumberFormat="1" applyFont="1" applyFill="1" applyBorder="1"/>
    <x:xf numFmtId="0" fontId="8" fillId="4" borderId="11" xfId="0" applyNumberFormat="1" applyFont="1" applyFill="1" applyBorder="1" applyAlignment="1">
      <x:alignment horizontal="center"/>
    </x:xf>
    <x:xf numFmtId="0" fontId="8" fillId="4" borderId="12" xfId="0" applyNumberFormat="1" applyFont="1" applyFill="1" applyBorder="1" applyAlignment="1">
      <x:alignment horizontal="center"/>
    </x:xf>
    <x:xf numFmtId="0" fontId="0" fillId="10" borderId="11" xfId="0" applyNumberFormat="1" applyFont="1" applyFill="1" applyBorder="1"/>
    <x:xf numFmtId="0" fontId="0" fillId="10" borderId="12" xfId="0" applyNumberFormat="1" applyFont="1" applyFill="1" applyBorder="1"/>
    <x:xf numFmtId="0" fontId="5" fillId="10" borderId="11" xfId="0" applyNumberFormat="1" applyFont="1" applyFill="1" applyBorder="1"/>
    <x:xf numFmtId="0" fontId="5" fillId="10" borderId="12" xfId="0" applyNumberFormat="1" applyFont="1" applyFill="1" applyBorder="1"/>
    <x:xf numFmtId="0" fontId="5" fillId="10" borderId="11" xfId="0" applyNumberFormat="1" applyFont="1" applyFill="1" applyBorder="1" applyAlignment="1">
      <x:alignment horizontal="center"/>
    </x:xf>
    <x:xf numFmtId="0" fontId="5" fillId="10" borderId="12" xfId="0" applyNumberFormat="1" applyFont="1" applyFill="1" applyBorder="1" applyAlignment="1">
      <x:alignment horizontal="center"/>
    </x:xf>
    <x:xf numFmtId="0" fontId="0" fillId="11" borderId="11" xfId="0" applyNumberFormat="1" applyFont="1" applyFill="1" applyBorder="1"/>
    <x:xf numFmtId="0" fontId="0" fillId="11" borderId="12" xfId="0" applyNumberFormat="1" applyFont="1" applyFill="1" applyBorder="1"/>
    <x:xf numFmtId="0" fontId="8" fillId="11" borderId="11" xfId="0" applyNumberFormat="1" applyFont="1" applyFill="1" applyBorder="1"/>
    <x:xf numFmtId="0" fontId="8" fillId="11" borderId="12" xfId="0" applyNumberFormat="1" applyFont="1" applyFill="1" applyBorder="1"/>
    <x:xf numFmtId="0" fontId="8" fillId="11" borderId="11" xfId="0" applyNumberFormat="1" applyFont="1" applyFill="1" applyBorder="1" applyAlignment="1">
      <x:alignment horizontal="center"/>
    </x:xf>
    <x:xf numFmtId="0" fontId="8" fillId="11" borderId="12" xfId="0" applyNumberFormat="1" applyFont="1" applyFill="1" applyBorder="1" applyAlignment="1">
      <x:alignment horizontal="center"/>
    </x:xf>
    <x:xf numFmtId="0" fontId="0" fillId="5" borderId="11" xfId="0" applyNumberFormat="1" applyFont="1" applyFill="1" applyBorder="1"/>
    <x:xf numFmtId="0" fontId="0" fillId="5" borderId="12" xfId="0" applyNumberFormat="1" applyFont="1" applyFill="1" applyBorder="1"/>
    <x:xf numFmtId="0" fontId="8" fillId="5" borderId="11" xfId="0" applyNumberFormat="1" applyFont="1" applyFill="1" applyBorder="1"/>
    <x:xf numFmtId="0" fontId="8" fillId="5" borderId="12" xfId="0" applyNumberFormat="1" applyFont="1" applyFill="1" applyBorder="1"/>
    <x:xf numFmtId="0" fontId="8" fillId="5" borderId="11" xfId="0" applyNumberFormat="1" applyFont="1" applyFill="1" applyBorder="1" applyAlignment="1">
      <x:alignment horizontal="center"/>
    </x:xf>
    <x:xf numFmtId="0" fontId="8" fillId="5" borderId="12" xfId="0" applyNumberFormat="1" applyFont="1" applyFill="1" applyBorder="1" applyAlignment="1">
      <x:alignment horizontal="center"/>
    </x:xf>
    <x:xf numFmtId="0" fontId="0" fillId="12" borderId="13" xfId="0" applyNumberFormat="1" applyFont="1" applyFill="1" applyBorder="1"/>
    <x:xf numFmtId="0" fontId="0" fillId="12" borderId="14" xfId="0" applyNumberFormat="1" applyFont="1" applyFill="1" applyBorder="1"/>
    <x:xf numFmtId="202" fontId="0" fillId="12" borderId="13" xfId="0" applyNumberFormat="1" applyFont="1" applyFill="1" applyBorder="1"/>
    <x:xf numFmtId="202" fontId="0" fillId="12" borderId="14" xfId="0" applyNumberFormat="1" applyFont="1" applyFill="1" applyBorder="1"/>
    <x:xf numFmtId="0" fontId="0" fillId="12" borderId="15" xfId="0" applyNumberFormat="1" applyFont="1" applyFill="1" applyBorder="1"/>
    <x:xf numFmtId="0" fontId="0" fillId="12" borderId="16" xfId="0" applyNumberFormat="1" applyFont="1" applyFill="1" applyBorder="1"/>
    <x:xf numFmtId="202" fontId="0" fillId="12" borderId="15" xfId="0" applyNumberFormat="1" applyFont="1" applyFill="1" applyBorder="1"/>
    <x:xf numFmtId="202" fontId="0" fillId="12" borderId="16" xfId="0" applyNumberFormat="1" applyFont="1" applyFill="1" applyBorder="1"/>
    <x:xf numFmtId="0" fontId="13" fillId="12" borderId="13" xfId="0" applyNumberFormat="1" applyFont="1" applyFill="1" applyBorder="1"/>
    <x:xf numFmtId="0" fontId="13" fillId="12" borderId="14" xfId="0" applyNumberFormat="1" applyFont="1" applyFill="1" applyBorder="1"/>
    <x:xf numFmtId="202" fontId="13" fillId="12" borderId="13" xfId="0" applyNumberFormat="1" applyFont="1" applyFill="1" applyBorder="1"/>
    <x:xf numFmtId="202" fontId="13" fillId="12" borderId="14" xfId="0" applyNumberFormat="1" applyFont="1" applyFill="1" applyBorder="1"/>
    <x:xf numFmtId="0" fontId="13" fillId="12" borderId="15" xfId="0" applyNumberFormat="1" applyFont="1" applyFill="1" applyBorder="1"/>
    <x:xf numFmtId="0" fontId="13" fillId="12" borderId="16" xfId="0" applyNumberFormat="1" applyFont="1" applyFill="1" applyBorder="1"/>
    <x:xf numFmtId="202" fontId="13" fillId="12" borderId="15" xfId="0" applyNumberFormat="1" applyFont="1" applyFill="1" applyBorder="1"/>
    <x:xf numFmtId="202" fontId="13" fillId="12" borderId="16" xfId="0" applyNumberFormat="1" applyFont="1" applyFill="1" applyBorder="1"/>
    <x:xf numFmtId="0" fontId="13" fillId="12" borderId="13" xfId="0" applyNumberFormat="1" applyFont="1" applyFill="1" applyBorder="1" applyAlignment="1">
      <x:alignment horizontal="center"/>
    </x:xf>
    <x:xf numFmtId="0" fontId="13" fillId="12" borderId="14" xfId="0" applyNumberFormat="1" applyFont="1" applyFill="1" applyBorder="1" applyAlignment="1">
      <x:alignment horizontal="center"/>
    </x:xf>
    <x:xf numFmtId="202" fontId="13" fillId="12" borderId="13" xfId="0" applyNumberFormat="1" applyFont="1" applyFill="1" applyBorder="1" applyAlignment="1">
      <x:alignment horizontal="center"/>
    </x:xf>
    <x:xf numFmtId="202" fontId="13" fillId="12" borderId="14" xfId="0" applyNumberFormat="1" applyFont="1" applyFill="1" applyBorder="1" applyAlignment="1">
      <x:alignment horizontal="center"/>
    </x:xf>
    <x:xf numFmtId="0" fontId="13" fillId="12" borderId="15" xfId="0" applyNumberFormat="1" applyFont="1" applyFill="1" applyBorder="1" applyAlignment="1">
      <x:alignment horizontal="center"/>
    </x:xf>
    <x:xf numFmtId="0" fontId="13" fillId="12" borderId="16" xfId="0" applyNumberFormat="1" applyFont="1" applyFill="1" applyBorder="1" applyAlignment="1">
      <x:alignment horizontal="center"/>
    </x:xf>
    <x:xf numFmtId="202" fontId="13" fillId="12" borderId="15" xfId="0" applyNumberFormat="1" applyFont="1" applyFill="1" applyBorder="1" applyAlignment="1">
      <x:alignment horizontal="center"/>
    </x:xf>
    <x:xf numFmtId="202" fontId="13" fillId="12" borderId="16" xfId="0" applyNumberFormat="1" applyFont="1" applyFill="1" applyBorder="1" applyAlignment="1">
      <x:alignment horizontal="center"/>
    </x:xf>
    <x:xf numFmtId="0" fontId="13" fillId="12" borderId="13" xfId="0" applyNumberFormat="1" applyFont="1" applyFill="1" applyBorder="1" applyAlignment="1">
      <x:alignment horizontal="center" vertical="center"/>
    </x:xf>
    <x:xf numFmtId="0" fontId="13" fillId="12" borderId="14" xfId="0" applyNumberFormat="1" applyFont="1" applyFill="1" applyBorder="1" applyAlignment="1">
      <x:alignment horizontal="center" vertical="center"/>
    </x:xf>
    <x:xf numFmtId="202" fontId="13" fillId="12" borderId="13" xfId="0" applyNumberFormat="1" applyFont="1" applyFill="1" applyBorder="1" applyAlignment="1">
      <x:alignment horizontal="center" vertical="center"/>
    </x:xf>
    <x:xf numFmtId="202" fontId="13" fillId="12" borderId="14" xfId="0" applyNumberFormat="1" applyFont="1" applyFill="1" applyBorder="1" applyAlignment="1">
      <x:alignment horizontal="center" vertical="center"/>
    </x:xf>
    <x:xf numFmtId="0" fontId="13" fillId="12" borderId="15" xfId="0" applyNumberFormat="1" applyFont="1" applyFill="1" applyBorder="1" applyAlignment="1">
      <x:alignment horizontal="center" vertical="center"/>
    </x:xf>
    <x:xf numFmtId="0" fontId="13" fillId="12" borderId="16" xfId="0" applyNumberFormat="1" applyFont="1" applyFill="1" applyBorder="1" applyAlignment="1">
      <x:alignment horizontal="center" vertical="center"/>
    </x:xf>
    <x:xf numFmtId="202" fontId="13" fillId="12" borderId="15" xfId="0" applyNumberFormat="1" applyFont="1" applyFill="1" applyBorder="1" applyAlignment="1">
      <x:alignment horizontal="center" vertical="center"/>
    </x:xf>
    <x:xf numFmtId="202" fontId="13" fillId="12" borderId="16" xfId="0" applyNumberFormat="1" applyFont="1" applyFill="1" applyBorder="1" applyAlignment="1">
      <x:alignment horizontal="center" vertical="center"/>
    </x:xf>
    <x:xf numFmtId="0" fontId="8" fillId="4" borderId="0" xfId="0" applyNumberFormat="1" applyFont="1" applyFill="1" applyBorder="1"/>
    <x:xf numFmtId="0" fontId="6" fillId="0" borderId="0" xfId="0" applyNumberFormat="1" applyFont="1" applyFill="1" applyBorder="1" applyAlignment="1">
      <x:alignment vertical="center"/>
    </x:xf>
    <x:xf numFmtId="201" fontId="5" fillId="0" borderId="0" xfId="0" applyNumberFormat="1" applyFont="1" applyFill="1" applyBorder="1" applyAlignment="1">
      <x:alignment vertical="center"/>
    </x:xf>
    <x:xf numFmtId="201" fontId="5" fillId="0" borderId="0" xfId="0" applyNumberFormat="1" applyFont="1" applyFill="1" applyBorder="1" applyAlignment="1">
      <x:alignment horizontal="center" vertical="center"/>
    </x:xf>
    <x:xf numFmtId="0" fontId="10" fillId="0" borderId="0" xfId="0" applyNumberFormat="1" applyFont="1" applyFill="1" applyBorder="1" applyAlignment="1">
      <x:alignment vertical="center"/>
    </x:xf>
    <x:xf numFmtId="0" fontId="10" fillId="0" borderId="0" xfId="0" applyNumberFormat="1" applyFont="1" applyFill="1" applyBorder="1" applyAlignment="1">
      <x:alignment horizontal="left" vertical="center"/>
    </x:xf>
    <x:xf numFmtId="0" fontId="6" fillId="0" borderId="1" xfId="0" applyNumberFormat="1" applyFont="1" applyFill="1" applyBorder="1" applyAlignment="1">
      <x:alignment vertical="center"/>
    </x:xf>
    <x:xf numFmtId="201" fontId="5" fillId="0" borderId="1" xfId="0" applyNumberFormat="1" applyFont="1" applyFill="1" applyBorder="1" applyAlignment="1">
      <x:alignment horizontal="center" vertical="center"/>
    </x:xf>
    <x:xf numFmtId="0" fontId="10" fillId="0" borderId="1" xfId="0" applyNumberFormat="1" applyFont="1" applyFill="1" applyBorder="1" applyAlignment="1">
      <x:alignment horizontal="left" vertical="center"/>
    </x:xf>
    <x:xf numFmtId="0" fontId="6" fillId="0" borderId="2" xfId="0" applyNumberFormat="1" applyFont="1" applyFill="1" applyBorder="1" applyAlignment="1">
      <x:alignment vertical="center"/>
    </x:xf>
    <x:xf numFmtId="201" fontId="5" fillId="0" borderId="2" xfId="0" applyNumberFormat="1" applyFont="1" applyFill="1" applyBorder="1" applyAlignment="1">
      <x:alignment horizontal="center" vertical="center"/>
    </x:xf>
    <x:xf numFmtId="0" fontId="10" fillId="0" borderId="2" xfId="0" applyNumberFormat="1" applyFont="1" applyFill="1" applyBorder="1" applyAlignment="1">
      <x:alignment horizontal="left" vertical="center"/>
    </x:xf>
    <x:xf numFmtId="0" fontId="6" fillId="0" borderId="17" xfId="0" applyNumberFormat="1" applyFont="1" applyFill="1" applyBorder="1" applyAlignment="1">
      <x:alignment vertical="center"/>
    </x:xf>
    <x:xf numFmtId="201" fontId="5" fillId="0" borderId="17" xfId="0" applyNumberFormat="1" applyFont="1" applyFill="1" applyBorder="1" applyAlignment="1">
      <x:alignment horizontal="center" vertical="center"/>
    </x:xf>
    <x:xf numFmtId="0" fontId="10" fillId="0" borderId="17" xfId="0" applyNumberFormat="1" applyFont="1" applyFill="1" applyBorder="1" applyAlignment="1">
      <x:alignment horizontal="left" vertical="center"/>
    </x:xf>
    <x:xf numFmtId="201" fontId="0" fillId="0" borderId="0" xfId="0" applyNumberFormat="1" applyFont="1" applyFill="1" applyBorder="1"/>
    <x:xf numFmtId="203" fontId="0" fillId="0" borderId="0" xfId="0" applyNumberFormat="1" applyFont="1" applyFill="1" applyBorder="1"/>
    <x:xf numFmtId="201" fontId="6" fillId="0" borderId="0" xfId="0" applyNumberFormat="1" applyFont="1" applyFill="1" applyBorder="1"/>
    <x:xf numFmtId="203" fontId="6" fillId="0" borderId="0" xfId="0" applyNumberFormat="1" applyFont="1" applyFill="1" applyBorder="1"/>
    <x:xf numFmtId="201" fontId="6" fillId="0" borderId="0" xfId="0" applyNumberFormat="1" applyFont="1" applyFill="1" applyBorder="1" applyAlignment="1">
      <x:alignment vertical="center"/>
    </x:xf>
    <x:xf numFmtId="203" fontId="6" fillId="0" borderId="0" xfId="0" applyNumberFormat="1" applyFont="1" applyFill="1" applyBorder="1" applyAlignment="1">
      <x:alignment vertical="center"/>
    </x:xf>
    <x:xf numFmtId="201" fontId="14" fillId="0" borderId="0" xfId="0" applyNumberFormat="1" applyFont="1" applyFill="1" applyBorder="1" applyAlignment="1">
      <x:alignment vertical="center"/>
    </x:xf>
    <x:xf numFmtId="203" fontId="14" fillId="0" borderId="0" xfId="0" applyNumberFormat="1" applyFont="1" applyFill="1" applyBorder="1" applyAlignment="1">
      <x:alignment vertical="center"/>
    </x:xf>
    <x:xf numFmtId="201" fontId="14" fillId="0" borderId="1" xfId="0" applyNumberFormat="1" applyFont="1" applyFill="1" applyBorder="1" applyAlignment="1">
      <x:alignment vertical="center"/>
    </x:xf>
    <x:xf numFmtId="201" fontId="14" fillId="0" borderId="2" xfId="0" applyNumberFormat="1" applyFont="1" applyFill="1" applyBorder="1" applyAlignment="1">
      <x:alignment vertical="center"/>
    </x:xf>
    <x:xf numFmtId="0" fontId="5" fillId="0" borderId="17" xfId="0" applyNumberFormat="1" applyFont="1" applyFill="1" applyBorder="1" applyAlignment="1">
      <x:alignment vertical="center"/>
    </x:xf>
    <x:xf numFmtId="203" fontId="14" fillId="0" borderId="17" xfId="0" applyNumberFormat="1" applyFont="1" applyFill="1" applyBorder="1" applyAlignment="1">
      <x:alignment vertical="center"/>
    </x:xf>
    <x:xf numFmtId="0" fontId="8" fillId="5" borderId="0" xfId="0" applyNumberFormat="1" applyFont="1" applyFill="1" applyBorder="1"/>
  </x:cellXfs>
  <x:cellStyles count="1">
    <x:cellStyle name="Normal" xfId="0"/>
  </x:cellStyles>
  <x:dxfs count="4">
    <x:dxf>
      <x:font>
        <x:b/>
        <x:color rgb="FF1F9D68"/>
      </x:font>
      <x:fill>
        <x:patternFill patternType="solid">
          <x:bgColor rgb="FFE7F7F0"/>
        </x:patternFill>
      </x:fill>
    </x:dxf>
    <x:dxf>
      <x:font>
        <x:b/>
        <x:color rgb="FF2F5BFF"/>
      </x:font>
      <x:fill>
        <x:patternFill patternType="solid">
          <x:bgColor rgb="FFE9EEFF"/>
        </x:patternFill>
      </x:fill>
    </x:dxf>
    <x:dxf>
      <x:font>
        <x:b/>
        <x:color rgb="FFD94B4B"/>
      </x:font>
      <x:fill>
        <x:patternFill patternType="solid">
          <x:bgColor rgb="FFFDEAEA"/>
        </x:patternFill>
      </x:fill>
    </x:dxf>
    <x:dxf>
      <x:font>
        <x:b/>
        <x:color rgb="FF1F9D68"/>
      </x:font>
      <x:fill>
        <x:patternFill patternType="solid">
          <x:bgColor rgb="FFE7F7F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b07072c11c4aaa" /><Relationship Type="http://schemas.openxmlformats.org/officeDocument/2006/relationships/theme" Target="/xl/theme/theme1.xml" Id="Rcd1d91ebc6454f2c" /><Relationship Type="http://schemas.openxmlformats.org/officeDocument/2006/relationships/sharedStrings" Target="/xl/sharedStrings.xml" Id="Racd92991cc864fda" /><Relationship Type="http://schemas.openxmlformats.org/officeDocument/2006/relationships/worksheet" Target="/xl/worksheets/sheet1.xml" Id="R75ac3d86fe3244b3" /><Relationship Type="http://schemas.openxmlformats.org/officeDocument/2006/relationships/worksheet" Target="/xl/worksheets/sheet2.xml" Id="Rb5f29921a4a64b21" /><Relationship Type="http://schemas.openxmlformats.org/officeDocument/2006/relationships/worksheet" Target="/xl/worksheets/sheet3.xml" Id="Re7129eb879324950" /><Relationship Type="http://schemas.openxmlformats.org/officeDocument/2006/relationships/worksheet" Target="/xl/worksheets/sheet4.xml" Id="R44b9cb964d1e42fe" /><Relationship Type="http://schemas.microsoft.com/office/2017/10/relationships/person" Target="/xl/persons/person.xml" Id="R36d70c22c28b43aa" /></Relationships>
</file>

<file path=xl/persons/person.xml><?xml version="1.0" encoding="utf-8"?>
<xltc:personList xmlns:xltc="http://schemas.microsoft.com/office/spreadsheetml/2018/threadedcomments">
  <xltc:person displayName="Emirhan Okyay" id="{2BE8DBEC-D41B-4682-94E1-B4D547F3FA86}"/>
</xltc:personList>
</file>

<file path=xl/tables/table1.xml><?xml version="1.0" encoding="utf-8"?>
<x:table xmlns:x="http://schemas.openxmlformats.org/spreadsheetml/2006/main" id="1" name="ContentPipelineTable" displayName="ContentPipelineTable" ref="A4:Z34" headerRowCount="1" totalsRowCount="0" totalsRowShown="0">
  <x:autoFilter ref="A4:Z34"/>
  <x:tableColumns count="26">
    <x:tableColumn id="1" name="Content_ID"/>
    <x:tableColumn id="2" name="Status"/>
    <x:tableColumn id="3" name="Freigabe"/>
    <x:tableColumn id="4" name="Thema"/>
    <x:tableColumn id="5" name="Content_Saeule"/>
    <x:tableColumn id="6" name="Produktname"/>
    <x:tableColumn id="7" name="Hook"/>
    <x:tableColumn id="8" name="Sprechertext"/>
    <x:tableColumn id="9" name="Szenenplan"/>
    <x:tableColumn id="10" name="Asset_Quellen_und_Rechte"/>
    <x:tableColumn id="11" name="Affiliate_URL"/>
    <x:tableColumn id="12" name="TikTok_Text"/>
    <x:tableColumn id="13" name="Instagram_Text"/>
    <x:tableColumn id="14" name="YouTube_Titel"/>
    <x:tableColumn id="15" name="YouTube_Beschreibung"/>
    <x:tableColumn id="16" name="Publish_Datum"/>
    <x:tableColumn id="17" name="Voice_URL"/>
    <x:tableColumn id="18" name="Video_URL"/>
    <x:tableColumn id="19" name="TikTok_URL"/>
    <x:tableColumn id="20" name="Instagram_URL"/>
    <x:tableColumn id="21" name="YouTube_URL"/>
    <x:tableColumn id="22" name="Views_24h"/>
    <x:tableColumn id="23" name="Views_7T"/>
    <x:tableColumn id="24" name="Klicks"/>
    <x:tableColumn id="25" name="Umsatz_EUR"/>
    <x:tableColumn id="26" name="Notize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b5e19e204134e2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3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28" customHeight="1">
      <x:c r="A1" s="4" t="str">
        <x:v>SetupKlar Content-System</x:v>
      </x:c>
      <x:c r="B1" s="4"/>
      <x:c r="C1" s="4"/>
      <x:c r="D1" s="4"/>
      <x:c r="E1" s="4"/>
      <x:c r="F1" s="4"/>
      <x:c r="G1" s="4"/>
      <x:c r="H1" s="4"/>
    </x:row>
    <x:row r="2" ht="28" customHeight="1">
      <x:c r="A2" s="4"/>
      <x:c r="B2" s="4"/>
      <x:c r="C2" s="4"/>
      <x:c r="D2" s="4"/>
      <x:c r="E2" s="4"/>
      <x:c r="F2" s="4"/>
      <x:c r="G2" s="4"/>
      <x:c r="H2" s="4"/>
    </x:row>
    <x:row r="3" ht="28" customHeight="1">
      <x:c r="A3" s="59" t="str">
        <x:v>Ideen planen, Inhalte freigeben und später über Make automatisieren.</x:v>
      </x:c>
      <x:c r="B3" s="59"/>
      <x:c r="C3" s="59"/>
      <x:c r="D3" s="59"/>
      <x:c r="E3" s="59"/>
      <x:c r="F3" s="59"/>
      <x:c r="G3" s="59"/>
      <x:c r="H3" s="59"/>
    </x:row>
    <x:row r="4">
      <x:c r="A4" s="16"/>
      <x:c r="B4" s="16"/>
      <x:c r="C4" s="16"/>
      <x:c r="D4" s="16"/>
      <x:c r="E4" s="16"/>
      <x:c r="F4" s="16"/>
      <x:c r="G4" s="16"/>
      <x:c r="H4" s="16"/>
    </x:row>
    <x:row r="5" ht="26" customHeight="1">
      <x:c r="A5" s="10" t="str">
        <x:v>So arbeitet der Ablauf</x:v>
      </x:c>
      <x:c r="B5" s="10"/>
      <x:c r="C5" s="10"/>
      <x:c r="D5" s="10"/>
      <x:c r="E5" s="10"/>
      <x:c r="F5" s="10"/>
      <x:c r="G5" s="10"/>
      <x:c r="H5" s="10"/>
    </x:row>
    <x:row r="6" ht="48" customHeight="1">
      <x:c r="A6" s="61" t="str">
        <x:v>1</x:v>
      </x:c>
      <x:c r="B6" s="20" t="str">
        <x:v>Idee eintragen</x:v>
      </x:c>
      <x:c r="C6" s="21" t="str">
        <x:v>In der Content-Pipeline Thema, Produkttyp und Hook festhalten.</x:v>
      </x:c>
      <x:c r="D6" s="21" t="str"/>
      <x:c r="E6" s="21" t="str"/>
      <x:c r="F6" s="21" t="str"/>
      <x:c r="G6" s="21" t="str"/>
      <x:c r="H6" s="21" t="str"/>
    </x:row>
    <x:row r="7" ht="48" customHeight="1">
      <x:c r="A7" s="62" t="str">
        <x:v>2</x:v>
      </x:c>
      <x:c r="B7" s="23" t="str">
        <x:v>Inhalt ausarbeiten</x:v>
      </x:c>
      <x:c r="C7" s="24" t="str">
        <x:v>Sprechertext, Szenenplan und Plattformtexte ergänzen.</x:v>
      </x:c>
      <x:c r="D7" s="24" t="str"/>
      <x:c r="E7" s="24" t="str"/>
      <x:c r="F7" s="24" t="str"/>
      <x:c r="G7" s="24" t="str"/>
      <x:c r="H7" s="24" t="str"/>
    </x:row>
    <x:row r="8" ht="48" customHeight="1">
      <x:c r="A8" s="62" t="str">
        <x:v>3</x:v>
      </x:c>
      <x:c r="B8" s="23" t="str">
        <x:v>Rechte prüfen</x:v>
      </x:c>
      <x:c r="C8" s="24" t="str">
        <x:v>Nur eigene, lizenzierte oder ausdrücklich freigegebene Bilder, Videos und Musik verwenden.</x:v>
      </x:c>
      <x:c r="D8" s="24" t="str"/>
      <x:c r="E8" s="24" t="str"/>
      <x:c r="F8" s="24" t="str"/>
      <x:c r="G8" s="24" t="str"/>
      <x:c r="H8" s="24" t="str"/>
    </x:row>
    <x:row r="9" ht="48" customHeight="1">
      <x:c r="A9" s="62" t="str">
        <x:v>4</x:v>
      </x:c>
      <x:c r="B9" s="23" t="str">
        <x:v>Freigeben</x:v>
      </x:c>
      <x:c r="C9" s="24" t="str">
        <x:v>Freigabe erst auf JA setzen, wenn Inhalt und Quellen geprüft sind.</x:v>
      </x:c>
      <x:c r="D9" s="24" t="str"/>
      <x:c r="E9" s="24" t="str"/>
      <x:c r="F9" s="24" t="str"/>
      <x:c r="G9" s="24" t="str"/>
      <x:c r="H9" s="24" t="str"/>
    </x:row>
    <x:row r="10" ht="48" customHeight="1">
      <x:c r="A10" s="62" t="str">
        <x:v>5</x:v>
      </x:c>
      <x:c r="B10" s="23" t="str">
        <x:v>Automatisieren</x:v>
      </x:c>
      <x:c r="C10" s="24" t="str">
        <x:v>Make erzeugt später die Stimme, speichert Dateien und aktualisiert den Status.</x:v>
      </x:c>
      <x:c r="D10" s="24" t="str"/>
      <x:c r="E10" s="24" t="str"/>
      <x:c r="F10" s="24" t="str"/>
      <x:c r="G10" s="24" t="str"/>
      <x:c r="H10" s="24" t="str"/>
    </x:row>
    <x:row r="11" ht="48" customHeight="1">
      <x:c r="A11" s="62" t="str">
        <x:v>6</x:v>
      </x:c>
      <x:c r="B11" s="23" t="str">
        <x:v>Veröffentlichen</x:v>
      </x:c>
      <x:c r="C11" s="24" t="str">
        <x:v>Fertiges Video prüfen und über Buffer für TikTok, Instagram und YouTube planen.</x:v>
      </x:c>
      <x:c r="D11" s="24" t="str"/>
      <x:c r="E11" s="24" t="str"/>
      <x:c r="F11" s="24" t="str"/>
      <x:c r="G11" s="24" t="str"/>
      <x:c r="H11" s="24" t="str"/>
    </x:row>
    <x:row r="12">
      <x:c r="A12" s="16"/>
      <x:c r="B12" s="16"/>
      <x:c r="C12" s="16"/>
      <x:c r="D12" s="16"/>
      <x:c r="E12" s="16"/>
      <x:c r="F12" s="16"/>
      <x:c r="G12" s="16"/>
      <x:c r="H12" s="16"/>
    </x:row>
    <x:row r="13" ht="26" customHeight="1">
      <x:c r="A13" s="26" t="str">
        <x:v>Wichtig für Make</x:v>
      </x:c>
      <x:c r="B13" s="26"/>
      <x:c r="C13" s="26"/>
      <x:c r="D13" s="26"/>
      <x:c r="E13" s="26"/>
      <x:c r="F13" s="26"/>
      <x:c r="G13" s="26"/>
      <x:c r="H13" s="26"/>
    </x:row>
    <x:row r="14" ht="24" customHeight="1">
      <x:c r="A14" s="46" t="str">
        <x:v>Spaltennamen in der Content-Pipeline später nicht umbenennen. Make verwendet diese Überschriften als feste Felder. Neue Inhalte immer in einer neuen Zeile anlegen und jede Content-ID nur einmal vergeben.</x:v>
      </x:c>
      <x:c r="B14" s="47"/>
      <x:c r="C14" s="47"/>
      <x:c r="D14" s="47"/>
      <x:c r="E14" s="47"/>
      <x:c r="F14" s="47"/>
      <x:c r="G14" s="47"/>
      <x:c r="H14" s="48"/>
    </x:row>
    <x:row r="15" ht="24" customHeight="1">
      <x:c r="A15" s="49"/>
      <x:c r="B15" s="50"/>
      <x:c r="C15" s="50"/>
      <x:c r="D15" s="50"/>
      <x:c r="E15" s="50"/>
      <x:c r="F15" s="50"/>
      <x:c r="G15" s="50"/>
      <x:c r="H15" s="51"/>
    </x:row>
    <x:row r="16" ht="24" customHeight="1">
      <x:c r="A16" s="52"/>
      <x:c r="B16" s="53"/>
      <x:c r="C16" s="53"/>
      <x:c r="D16" s="53"/>
      <x:c r="E16" s="53"/>
      <x:c r="F16" s="53"/>
      <x:c r="G16" s="53"/>
      <x:c r="H16" s="54"/>
    </x:row>
    <x:row r="17">
      <x:c r="A17" s="16"/>
      <x:c r="B17" s="16"/>
      <x:c r="C17" s="16"/>
      <x:c r="D17" s="16"/>
      <x:c r="E17" s="16"/>
      <x:c r="F17" s="16"/>
      <x:c r="G17" s="16"/>
      <x:c r="H17" s="16"/>
    </x:row>
    <x:row r="18" ht="30" customHeight="1">
      <x:c r="A18" s="64" t="str">
        <x:v>Startpunkt: Öffne die Content-Pipeline und trage SK-001 ein.</x:v>
      </x:c>
      <x:c r="B18" s="64"/>
      <x:c r="C18" s="64"/>
      <x:c r="D18" s="64"/>
      <x:c r="E18" s="64"/>
      <x:c r="F18" s="64"/>
      <x:c r="G18" s="64"/>
      <x:c r="H18" s="64"/>
    </x:row>
  </x:sheetData>
  <x:mergeCells>
    <x:mergeCell ref="A1:H2"/>
    <x:mergeCell ref="A3:H3"/>
    <x:mergeCell ref="A5:H5"/>
    <x:mergeCell ref="C6:H6"/>
    <x:mergeCell ref="C7:H7"/>
    <x:mergeCell ref="C8:H8"/>
    <x:mergeCell ref="C9:H9"/>
    <x:mergeCell ref="C10:H10"/>
    <x:mergeCell ref="C11:H11"/>
    <x:mergeCell ref="A13:H13"/>
    <x:mergeCell ref="A14:H16"/>
    <x:mergeCell ref="A18:H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8" hidden="0" customWidth="1"/>
    <x:col min="3" max="3" width="12" hidden="0" customWidth="1"/>
    <x:col min="4" max="4" width="34" hidden="0" customWidth="1"/>
    <x:col min="5" max="5" width="18" hidden="0" customWidth="1"/>
    <x:col min="6" max="6" width="24" hidden="0" customWidth="1"/>
    <x:col min="7" max="7" width="34" hidden="0" customWidth="1"/>
    <x:col min="8" max="8" width="42" hidden="0" customWidth="1"/>
    <x:col min="9" max="9" width="42" hidden="0" customWidth="1"/>
    <x:col min="10" max="10" width="32" hidden="0" customWidth="1"/>
    <x:col min="11" max="11" width="28" hidden="0" customWidth="1"/>
    <x:col min="12" max="12" width="32" hidden="0" customWidth="1"/>
    <x:col min="13" max="13" width="32" hidden="0" customWidth="1"/>
    <x:col min="14" max="14" width="28" hidden="0" customWidth="1"/>
    <x:col min="15" max="15" width="38" hidden="0" customWidth="1"/>
    <x:col min="16" max="16" width="20" hidden="0" customWidth="1"/>
    <x:col min="17" max="17" width="28" hidden="0" customWidth="1"/>
    <x:col min="18" max="18" width="28" hidden="0" customWidth="1"/>
    <x:col min="19" max="19" width="28" hidden="0" customWidth="1"/>
    <x:col min="20" max="20" width="28" hidden="0" customWidth="1"/>
    <x:col min="21" max="21" width="28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32" hidden="0" customWidth="1"/>
  </x:cols>
  <x:sheetData>
    <x:row r="1" ht="28" customHeight="1">
      <x:c r="A1" s="67" t="str">
        <x:v>SetupKlar · Content-Pipeline</x:v>
      </x:c>
      <x:c r="B1" s="67"/>
      <x:c r="C1" s="67"/>
      <x:c r="D1" s="67"/>
      <x:c r="E1" s="67"/>
      <x:c r="F1" s="67"/>
      <x:c r="G1" s="67"/>
      <x:c r="H1" s="67"/>
      <x:c r="I1" s="67"/>
      <x:c r="J1" s="67"/>
      <x:c r="K1" s="67"/>
      <x:c r="L1" s="67"/>
      <x:c r="M1" s="67"/>
      <x:c r="N1" s="67"/>
      <x:c r="O1" s="67"/>
      <x:c r="P1" s="67"/>
      <x:c r="Q1" s="67"/>
      <x:c r="R1" s="67"/>
      <x:c r="S1" s="67"/>
      <x:c r="T1" s="67"/>
      <x:c r="U1" s="67"/>
      <x:c r="V1" s="67"/>
      <x:c r="W1" s="67"/>
      <x:c r="X1" s="67"/>
      <x:c r="Y1" s="67"/>
      <x:c r="Z1" s="67"/>
    </x:row>
    <x:row r="2" ht="28" customHeight="1">
      <x:c r="A2" s="67"/>
      <x:c r="B2" s="67"/>
      <x:c r="C2" s="67"/>
      <x:c r="D2" s="67"/>
      <x:c r="E2" s="67"/>
      <x:c r="F2" s="67"/>
      <x:c r="G2" s="67"/>
      <x:c r="H2" s="67"/>
      <x:c r="I2" s="67"/>
      <x:c r="J2" s="67"/>
      <x:c r="K2" s="67"/>
      <x:c r="L2" s="67"/>
      <x:c r="M2" s="67"/>
      <x:c r="N2" s="67"/>
      <x:c r="O2" s="67"/>
      <x:c r="P2" s="67"/>
      <x:c r="Q2" s="67"/>
      <x:c r="R2" s="67"/>
      <x:c r="S2" s="67"/>
      <x:c r="T2" s="67"/>
      <x:c r="U2" s="67"/>
      <x:c r="V2" s="67"/>
      <x:c r="W2" s="67"/>
      <x:c r="X2" s="67"/>
      <x:c r="Y2" s="67"/>
      <x:c r="Z2" s="67"/>
    </x:row>
    <x:row r="3" ht="26" customHeight="1">
      <x:c r="A3" s="69" t="str">
        <x:v>Eine Zeile = ein Video. Gelbe Felder werden von dir gepflegt, graue/weiße Felder später teilweise von Make aktualisiert.</x:v>
      </x:c>
      <x:c r="B3" s="69"/>
      <x:c r="C3" s="69"/>
      <x:c r="D3" s="69"/>
      <x:c r="E3" s="69"/>
      <x:c r="F3" s="69"/>
      <x:c r="G3" s="69"/>
      <x:c r="H3" s="69"/>
      <x:c r="I3" s="69"/>
      <x:c r="J3" s="69"/>
      <x:c r="K3" s="69"/>
      <x:c r="L3" s="69"/>
      <x:c r="M3" s="69"/>
      <x:c r="N3" s="69"/>
      <x:c r="O3" s="69"/>
      <x:c r="P3" s="69"/>
      <x:c r="Q3" s="69"/>
      <x:c r="R3" s="69"/>
      <x:c r="S3" s="69"/>
      <x:c r="T3" s="69"/>
      <x:c r="U3" s="69"/>
      <x:c r="V3" s="69"/>
      <x:c r="W3" s="69"/>
      <x:c r="X3" s="69"/>
      <x:c r="Y3" s="69"/>
      <x:c r="Z3" s="69"/>
    </x:row>
    <x:row r="4" ht="42" customHeight="1">
      <x:c r="A4" s="72" t="str">
        <x:v>Content_ID</x:v>
      </x:c>
      <x:c r="B4" s="72" t="str">
        <x:v>Status</x:v>
      </x:c>
      <x:c r="C4" s="72" t="str">
        <x:v>Freigabe</x:v>
      </x:c>
      <x:c r="D4" s="72" t="str">
        <x:v>Thema</x:v>
      </x:c>
      <x:c r="E4" s="72" t="str">
        <x:v>Content_Saeule</x:v>
      </x:c>
      <x:c r="F4" s="72" t="str">
        <x:v>Produktname</x:v>
      </x:c>
      <x:c r="G4" s="72" t="str">
        <x:v>Hook</x:v>
      </x:c>
      <x:c r="H4" s="72" t="str">
        <x:v>Sprechertext</x:v>
      </x:c>
      <x:c r="I4" s="72" t="str">
        <x:v>Szenenplan</x:v>
      </x:c>
      <x:c r="J4" s="72" t="str">
        <x:v>Asset_Quellen_und_Rechte</x:v>
      </x:c>
      <x:c r="K4" s="72" t="str">
        <x:v>Affiliate_URL</x:v>
      </x:c>
      <x:c r="L4" s="72" t="str">
        <x:v>TikTok_Text</x:v>
      </x:c>
      <x:c r="M4" s="72" t="str">
        <x:v>Instagram_Text</x:v>
      </x:c>
      <x:c r="N4" s="72" t="str">
        <x:v>YouTube_Titel</x:v>
      </x:c>
      <x:c r="O4" s="72" t="str">
        <x:v>YouTube_Beschreibung</x:v>
      </x:c>
      <x:c r="P4" s="72" t="str">
        <x:v>Publish_Datum</x:v>
      </x:c>
      <x:c r="Q4" s="72" t="str">
        <x:v>Voice_URL</x:v>
      </x:c>
      <x:c r="R4" s="72" t="str">
        <x:v>Video_URL</x:v>
      </x:c>
      <x:c r="S4" s="72" t="str">
        <x:v>TikTok_URL</x:v>
      </x:c>
      <x:c r="T4" s="72" t="str">
        <x:v>Instagram_URL</x:v>
      </x:c>
      <x:c r="U4" s="72" t="str">
        <x:v>YouTube_URL</x:v>
      </x:c>
      <x:c r="V4" s="72" t="str">
        <x:v>Views_24h</x:v>
      </x:c>
      <x:c r="W4" s="72" t="str">
        <x:v>Views_7T</x:v>
      </x:c>
      <x:c r="X4" s="72" t="str">
        <x:v>Klicks</x:v>
      </x:c>
      <x:c r="Y4" s="72" t="str">
        <x:v>Umsatz_EUR</x:v>
      </x:c>
      <x:c r="Z4" s="72" t="str">
        <x:v>Notizen</x:v>
      </x:c>
    </x:row>
    <x:row r="5" ht="44" customHeight="1">
      <x:c r="A5" s="75"/>
      <x:c r="B5" s="75"/>
      <x:c r="C5" s="75"/>
      <x:c r="D5" s="77"/>
      <x:c r="E5" s="77"/>
      <x:c r="F5" s="77"/>
      <x:c r="G5" s="77"/>
      <x:c r="H5" s="77"/>
      <x:c r="I5" s="77"/>
      <x:c r="J5" s="77"/>
      <x:c r="K5" s="77"/>
      <x:c r="L5" s="77"/>
      <x:c r="M5" s="77"/>
      <x:c r="N5" s="77"/>
      <x:c r="O5" s="77"/>
      <x:c r="P5" s="78"/>
      <x:c r="Q5" s="76"/>
      <x:c r="R5" s="76"/>
      <x:c r="S5" s="76"/>
      <x:c r="T5" s="76"/>
      <x:c r="U5" s="76"/>
      <x:c r="V5" s="79"/>
      <x:c r="W5" s="79"/>
      <x:c r="X5" s="79"/>
      <x:c r="Y5" s="80"/>
      <x:c r="Z5" s="77"/>
    </x:row>
    <x:row r="6" ht="44" customHeight="1">
      <x:c r="A6" s="75"/>
      <x:c r="B6" s="75"/>
      <x:c r="C6" s="75"/>
      <x:c r="D6" s="77"/>
      <x:c r="E6" s="77"/>
      <x:c r="F6" s="77"/>
      <x:c r="G6" s="77"/>
      <x:c r="H6" s="77"/>
      <x:c r="I6" s="77"/>
      <x:c r="J6" s="77"/>
      <x:c r="K6" s="77"/>
      <x:c r="L6" s="77"/>
      <x:c r="M6" s="77"/>
      <x:c r="N6" s="77"/>
      <x:c r="O6" s="77"/>
      <x:c r="P6" s="78"/>
      <x:c r="Q6" s="76"/>
      <x:c r="R6" s="76"/>
      <x:c r="S6" s="76"/>
      <x:c r="T6" s="76"/>
      <x:c r="U6" s="76"/>
      <x:c r="V6" s="79"/>
      <x:c r="W6" s="79"/>
      <x:c r="X6" s="79"/>
      <x:c r="Y6" s="80"/>
      <x:c r="Z6" s="77"/>
    </x:row>
    <x:row r="7" ht="44" customHeight="1">
      <x:c r="A7" s="75"/>
      <x:c r="B7" s="75"/>
      <x:c r="C7" s="75"/>
      <x:c r="D7" s="77"/>
      <x:c r="E7" s="77"/>
      <x:c r="F7" s="77"/>
      <x:c r="G7" s="77"/>
      <x:c r="H7" s="77"/>
      <x:c r="I7" s="77"/>
      <x:c r="J7" s="77"/>
      <x:c r="K7" s="77"/>
      <x:c r="L7" s="77"/>
      <x:c r="M7" s="77"/>
      <x:c r="N7" s="77"/>
      <x:c r="O7" s="77"/>
      <x:c r="P7" s="78"/>
      <x:c r="Q7" s="76"/>
      <x:c r="R7" s="76"/>
      <x:c r="S7" s="76"/>
      <x:c r="T7" s="76"/>
      <x:c r="U7" s="76"/>
      <x:c r="V7" s="79"/>
      <x:c r="W7" s="79"/>
      <x:c r="X7" s="79"/>
      <x:c r="Y7" s="80"/>
      <x:c r="Z7" s="77"/>
    </x:row>
    <x:row r="8" ht="44" customHeight="1">
      <x:c r="A8" s="75"/>
      <x:c r="B8" s="75"/>
      <x:c r="C8" s="75"/>
      <x:c r="D8" s="77"/>
      <x:c r="E8" s="77"/>
      <x:c r="F8" s="77"/>
      <x:c r="G8" s="77"/>
      <x:c r="H8" s="77"/>
      <x:c r="I8" s="77"/>
      <x:c r="J8" s="77"/>
      <x:c r="K8" s="77"/>
      <x:c r="L8" s="77"/>
      <x:c r="M8" s="77"/>
      <x:c r="N8" s="77"/>
      <x:c r="O8" s="77"/>
      <x:c r="P8" s="78"/>
      <x:c r="Q8" s="76"/>
      <x:c r="R8" s="76"/>
      <x:c r="S8" s="76"/>
      <x:c r="T8" s="76"/>
      <x:c r="U8" s="76"/>
      <x:c r="V8" s="79"/>
      <x:c r="W8" s="79"/>
      <x:c r="X8" s="79"/>
      <x:c r="Y8" s="80"/>
      <x:c r="Z8" s="77"/>
    </x:row>
    <x:row r="9" ht="44" customHeight="1">
      <x:c r="A9" s="75"/>
      <x:c r="B9" s="75"/>
      <x:c r="C9" s="75"/>
      <x:c r="D9" s="77"/>
      <x:c r="E9" s="77"/>
      <x:c r="F9" s="77"/>
      <x:c r="G9" s="77"/>
      <x:c r="H9" s="77"/>
      <x:c r="I9" s="77"/>
      <x:c r="J9" s="77"/>
      <x:c r="K9" s="77"/>
      <x:c r="L9" s="77"/>
      <x:c r="M9" s="77"/>
      <x:c r="N9" s="77"/>
      <x:c r="O9" s="77"/>
      <x:c r="P9" s="78"/>
      <x:c r="Q9" s="76"/>
      <x:c r="R9" s="76"/>
      <x:c r="S9" s="76"/>
      <x:c r="T9" s="76"/>
      <x:c r="U9" s="76"/>
      <x:c r="V9" s="79"/>
      <x:c r="W9" s="79"/>
      <x:c r="X9" s="79"/>
      <x:c r="Y9" s="80"/>
      <x:c r="Z9" s="77"/>
    </x:row>
    <x:row r="10" ht="44" customHeight="1">
      <x:c r="A10" s="75"/>
      <x:c r="B10" s="75"/>
      <x:c r="C10" s="75"/>
      <x:c r="D10" s="77"/>
      <x:c r="E10" s="77"/>
      <x:c r="F10" s="77"/>
      <x:c r="G10" s="77"/>
      <x:c r="H10" s="77"/>
      <x:c r="I10" s="77"/>
      <x:c r="J10" s="77"/>
      <x:c r="K10" s="77"/>
      <x:c r="L10" s="77"/>
      <x:c r="M10" s="77"/>
      <x:c r="N10" s="77"/>
      <x:c r="O10" s="77"/>
      <x:c r="P10" s="78"/>
      <x:c r="Q10" s="76"/>
      <x:c r="R10" s="76"/>
      <x:c r="S10" s="76"/>
      <x:c r="T10" s="76"/>
      <x:c r="U10" s="76"/>
      <x:c r="V10" s="79"/>
      <x:c r="W10" s="79"/>
      <x:c r="X10" s="79"/>
      <x:c r="Y10" s="80"/>
      <x:c r="Z10" s="77"/>
    </x:row>
    <x:row r="11" ht="44" customHeight="1">
      <x:c r="A11" s="75"/>
      <x:c r="B11" s="75"/>
      <x:c r="C11" s="75"/>
      <x:c r="D11" s="77"/>
      <x:c r="E11" s="77"/>
      <x:c r="F11" s="77"/>
      <x:c r="G11" s="77"/>
      <x:c r="H11" s="77"/>
      <x:c r="I11" s="77"/>
      <x:c r="J11" s="77"/>
      <x:c r="K11" s="77"/>
      <x:c r="L11" s="77"/>
      <x:c r="M11" s="77"/>
      <x:c r="N11" s="77"/>
      <x:c r="O11" s="77"/>
      <x:c r="P11" s="78"/>
      <x:c r="Q11" s="76"/>
      <x:c r="R11" s="76"/>
      <x:c r="S11" s="76"/>
      <x:c r="T11" s="76"/>
      <x:c r="U11" s="76"/>
      <x:c r="V11" s="79"/>
      <x:c r="W11" s="79"/>
      <x:c r="X11" s="79"/>
      <x:c r="Y11" s="80"/>
      <x:c r="Z11" s="77"/>
    </x:row>
    <x:row r="12" ht="44" customHeight="1">
      <x:c r="A12" s="75"/>
      <x:c r="B12" s="75"/>
      <x:c r="C12" s="75"/>
      <x:c r="D12" s="77"/>
      <x:c r="E12" s="77"/>
      <x:c r="F12" s="77"/>
      <x:c r="G12" s="77"/>
      <x:c r="H12" s="77"/>
      <x:c r="I12" s="77"/>
      <x:c r="J12" s="77"/>
      <x:c r="K12" s="77"/>
      <x:c r="L12" s="77"/>
      <x:c r="M12" s="77"/>
      <x:c r="N12" s="77"/>
      <x:c r="O12" s="77"/>
      <x:c r="P12" s="78"/>
      <x:c r="Q12" s="76"/>
      <x:c r="R12" s="76"/>
      <x:c r="S12" s="76"/>
      <x:c r="T12" s="76"/>
      <x:c r="U12" s="76"/>
      <x:c r="V12" s="79"/>
      <x:c r="W12" s="79"/>
      <x:c r="X12" s="79"/>
      <x:c r="Y12" s="80"/>
      <x:c r="Z12" s="77"/>
    </x:row>
    <x:row r="13" ht="44" customHeight="1">
      <x:c r="A13" s="75"/>
      <x:c r="B13" s="75"/>
      <x:c r="C13" s="75"/>
      <x:c r="D13" s="77"/>
      <x:c r="E13" s="77"/>
      <x:c r="F13" s="77"/>
      <x:c r="G13" s="77"/>
      <x:c r="H13" s="77"/>
      <x:c r="I13" s="77"/>
      <x:c r="J13" s="77"/>
      <x:c r="K13" s="77"/>
      <x:c r="L13" s="77"/>
      <x:c r="M13" s="77"/>
      <x:c r="N13" s="77"/>
      <x:c r="O13" s="77"/>
      <x:c r="P13" s="78"/>
      <x:c r="Q13" s="76"/>
      <x:c r="R13" s="76"/>
      <x:c r="S13" s="76"/>
      <x:c r="T13" s="76"/>
      <x:c r="U13" s="76"/>
      <x:c r="V13" s="79"/>
      <x:c r="W13" s="79"/>
      <x:c r="X13" s="79"/>
      <x:c r="Y13" s="80"/>
      <x:c r="Z13" s="77"/>
    </x:row>
    <x:row r="14" ht="44" customHeight="1">
      <x:c r="A14" s="75"/>
      <x:c r="B14" s="75"/>
      <x:c r="C14" s="75"/>
      <x:c r="D14" s="77"/>
      <x:c r="E14" s="77"/>
      <x:c r="F14" s="77"/>
      <x:c r="G14" s="77"/>
      <x:c r="H14" s="77"/>
      <x:c r="I14" s="77"/>
      <x:c r="J14" s="77"/>
      <x:c r="K14" s="77"/>
      <x:c r="L14" s="77"/>
      <x:c r="M14" s="77"/>
      <x:c r="N14" s="77"/>
      <x:c r="O14" s="77"/>
      <x:c r="P14" s="78"/>
      <x:c r="Q14" s="76"/>
      <x:c r="R14" s="76"/>
      <x:c r="S14" s="76"/>
      <x:c r="T14" s="76"/>
      <x:c r="U14" s="76"/>
      <x:c r="V14" s="79"/>
      <x:c r="W14" s="79"/>
      <x:c r="X14" s="79"/>
      <x:c r="Y14" s="80"/>
      <x:c r="Z14" s="77"/>
    </x:row>
    <x:row r="15" ht="44" customHeight="1">
      <x:c r="A15" s="75"/>
      <x:c r="B15" s="75"/>
      <x:c r="C15" s="75"/>
      <x:c r="D15" s="77"/>
      <x:c r="E15" s="77"/>
      <x:c r="F15" s="77"/>
      <x:c r="G15" s="77"/>
      <x:c r="H15" s="77"/>
      <x:c r="I15" s="77"/>
      <x:c r="J15" s="77"/>
      <x:c r="K15" s="77"/>
      <x:c r="L15" s="77"/>
      <x:c r="M15" s="77"/>
      <x:c r="N15" s="77"/>
      <x:c r="O15" s="77"/>
      <x:c r="P15" s="78"/>
      <x:c r="Q15" s="76"/>
      <x:c r="R15" s="76"/>
      <x:c r="S15" s="76"/>
      <x:c r="T15" s="76"/>
      <x:c r="U15" s="76"/>
      <x:c r="V15" s="79"/>
      <x:c r="W15" s="79"/>
      <x:c r="X15" s="79"/>
      <x:c r="Y15" s="80"/>
      <x:c r="Z15" s="77"/>
    </x:row>
    <x:row r="16" ht="44" customHeight="1">
      <x:c r="A16" s="75"/>
      <x:c r="B16" s="75"/>
      <x:c r="C16" s="75"/>
      <x:c r="D16" s="77"/>
      <x:c r="E16" s="77"/>
      <x:c r="F16" s="77"/>
      <x:c r="G16" s="77"/>
      <x:c r="H16" s="77"/>
      <x:c r="I16" s="77"/>
      <x:c r="J16" s="77"/>
      <x:c r="K16" s="77"/>
      <x:c r="L16" s="77"/>
      <x:c r="M16" s="77"/>
      <x:c r="N16" s="77"/>
      <x:c r="O16" s="77"/>
      <x:c r="P16" s="78"/>
      <x:c r="Q16" s="76"/>
      <x:c r="R16" s="76"/>
      <x:c r="S16" s="76"/>
      <x:c r="T16" s="76"/>
      <x:c r="U16" s="76"/>
      <x:c r="V16" s="79"/>
      <x:c r="W16" s="79"/>
      <x:c r="X16" s="79"/>
      <x:c r="Y16" s="80"/>
      <x:c r="Z16" s="77"/>
    </x:row>
    <x:row r="17" ht="44" customHeight="1">
      <x:c r="A17" s="75"/>
      <x:c r="B17" s="75"/>
      <x:c r="C17" s="75"/>
      <x:c r="D17" s="77"/>
      <x:c r="E17" s="77"/>
      <x:c r="F17" s="77"/>
      <x:c r="G17" s="77"/>
      <x:c r="H17" s="77"/>
      <x:c r="I17" s="77"/>
      <x:c r="J17" s="77"/>
      <x:c r="K17" s="77"/>
      <x:c r="L17" s="77"/>
      <x:c r="M17" s="77"/>
      <x:c r="N17" s="77"/>
      <x:c r="O17" s="77"/>
      <x:c r="P17" s="78"/>
      <x:c r="Q17" s="76"/>
      <x:c r="R17" s="76"/>
      <x:c r="S17" s="76"/>
      <x:c r="T17" s="76"/>
      <x:c r="U17" s="76"/>
      <x:c r="V17" s="79"/>
      <x:c r="W17" s="79"/>
      <x:c r="X17" s="79"/>
      <x:c r="Y17" s="80"/>
      <x:c r="Z17" s="77"/>
    </x:row>
    <x:row r="18" ht="44" customHeight="1">
      <x:c r="A18" s="75"/>
      <x:c r="B18" s="75"/>
      <x:c r="C18" s="75"/>
      <x:c r="D18" s="77"/>
      <x:c r="E18" s="77"/>
      <x:c r="F18" s="77"/>
      <x:c r="G18" s="77"/>
      <x:c r="H18" s="77"/>
      <x:c r="I18" s="77"/>
      <x:c r="J18" s="77"/>
      <x:c r="K18" s="77"/>
      <x:c r="L18" s="77"/>
      <x:c r="M18" s="77"/>
      <x:c r="N18" s="77"/>
      <x:c r="O18" s="77"/>
      <x:c r="P18" s="78"/>
      <x:c r="Q18" s="76"/>
      <x:c r="R18" s="76"/>
      <x:c r="S18" s="76"/>
      <x:c r="T18" s="76"/>
      <x:c r="U18" s="76"/>
      <x:c r="V18" s="79"/>
      <x:c r="W18" s="79"/>
      <x:c r="X18" s="79"/>
      <x:c r="Y18" s="80"/>
      <x:c r="Z18" s="77"/>
    </x:row>
    <x:row r="19" ht="44" customHeight="1">
      <x:c r="A19" s="75"/>
      <x:c r="B19" s="75"/>
      <x:c r="C19" s="75"/>
      <x:c r="D19" s="77"/>
      <x:c r="E19" s="77"/>
      <x:c r="F19" s="77"/>
      <x:c r="G19" s="77"/>
      <x:c r="H19" s="77"/>
      <x:c r="I19" s="77"/>
      <x:c r="J19" s="77"/>
      <x:c r="K19" s="77"/>
      <x:c r="L19" s="77"/>
      <x:c r="M19" s="77"/>
      <x:c r="N19" s="77"/>
      <x:c r="O19" s="77"/>
      <x:c r="P19" s="78"/>
      <x:c r="Q19" s="76"/>
      <x:c r="R19" s="76"/>
      <x:c r="S19" s="76"/>
      <x:c r="T19" s="76"/>
      <x:c r="U19" s="76"/>
      <x:c r="V19" s="79"/>
      <x:c r="W19" s="79"/>
      <x:c r="X19" s="79"/>
      <x:c r="Y19" s="80"/>
      <x:c r="Z19" s="77"/>
    </x:row>
    <x:row r="20" ht="44" customHeight="1">
      <x:c r="A20" s="75"/>
      <x:c r="B20" s="75"/>
      <x:c r="C20" s="75"/>
      <x:c r="D20" s="77"/>
      <x:c r="E20" s="77"/>
      <x:c r="F20" s="77"/>
      <x:c r="G20" s="77"/>
      <x:c r="H20" s="77"/>
      <x:c r="I20" s="77"/>
      <x:c r="J20" s="77"/>
      <x:c r="K20" s="77"/>
      <x:c r="L20" s="77"/>
      <x:c r="M20" s="77"/>
      <x:c r="N20" s="77"/>
      <x:c r="O20" s="77"/>
      <x:c r="P20" s="78"/>
      <x:c r="Q20" s="76"/>
      <x:c r="R20" s="76"/>
      <x:c r="S20" s="76"/>
      <x:c r="T20" s="76"/>
      <x:c r="U20" s="76"/>
      <x:c r="V20" s="79"/>
      <x:c r="W20" s="79"/>
      <x:c r="X20" s="79"/>
      <x:c r="Y20" s="80"/>
      <x:c r="Z20" s="77"/>
    </x:row>
    <x:row r="21" ht="44" customHeight="1">
      <x:c r="A21" s="75"/>
      <x:c r="B21" s="75"/>
      <x:c r="C21" s="75"/>
      <x:c r="D21" s="77"/>
      <x:c r="E21" s="77"/>
      <x:c r="F21" s="77"/>
      <x:c r="G21" s="77"/>
      <x:c r="H21" s="77"/>
      <x:c r="I21" s="77"/>
      <x:c r="J21" s="77"/>
      <x:c r="K21" s="77"/>
      <x:c r="L21" s="77"/>
      <x:c r="M21" s="77"/>
      <x:c r="N21" s="77"/>
      <x:c r="O21" s="77"/>
      <x:c r="P21" s="78"/>
      <x:c r="Q21" s="76"/>
      <x:c r="R21" s="76"/>
      <x:c r="S21" s="76"/>
      <x:c r="T21" s="76"/>
      <x:c r="U21" s="76"/>
      <x:c r="V21" s="79"/>
      <x:c r="W21" s="79"/>
      <x:c r="X21" s="79"/>
      <x:c r="Y21" s="80"/>
      <x:c r="Z21" s="77"/>
    </x:row>
    <x:row r="22" ht="44" customHeight="1">
      <x:c r="A22" s="75"/>
      <x:c r="B22" s="75"/>
      <x:c r="C22" s="75"/>
      <x:c r="D22" s="77"/>
      <x:c r="E22" s="77"/>
      <x:c r="F22" s="77"/>
      <x:c r="G22" s="77"/>
      <x:c r="H22" s="77"/>
      <x:c r="I22" s="77"/>
      <x:c r="J22" s="77"/>
      <x:c r="K22" s="77"/>
      <x:c r="L22" s="77"/>
      <x:c r="M22" s="77"/>
      <x:c r="N22" s="77"/>
      <x:c r="O22" s="77"/>
      <x:c r="P22" s="78"/>
      <x:c r="Q22" s="76"/>
      <x:c r="R22" s="76"/>
      <x:c r="S22" s="76"/>
      <x:c r="T22" s="76"/>
      <x:c r="U22" s="76"/>
      <x:c r="V22" s="79"/>
      <x:c r="W22" s="79"/>
      <x:c r="X22" s="79"/>
      <x:c r="Y22" s="80"/>
      <x:c r="Z22" s="77"/>
    </x:row>
    <x:row r="23" ht="44" customHeight="1">
      <x:c r="A23" s="75"/>
      <x:c r="B23" s="75"/>
      <x:c r="C23" s="75"/>
      <x:c r="D23" s="77"/>
      <x:c r="E23" s="77"/>
      <x:c r="F23" s="77"/>
      <x:c r="G23" s="77"/>
      <x:c r="H23" s="77"/>
      <x:c r="I23" s="77"/>
      <x:c r="J23" s="77"/>
      <x:c r="K23" s="77"/>
      <x:c r="L23" s="77"/>
      <x:c r="M23" s="77"/>
      <x:c r="N23" s="77"/>
      <x:c r="O23" s="77"/>
      <x:c r="P23" s="78"/>
      <x:c r="Q23" s="76"/>
      <x:c r="R23" s="76"/>
      <x:c r="S23" s="76"/>
      <x:c r="T23" s="76"/>
      <x:c r="U23" s="76"/>
      <x:c r="V23" s="79"/>
      <x:c r="W23" s="79"/>
      <x:c r="X23" s="79"/>
      <x:c r="Y23" s="80"/>
      <x:c r="Z23" s="77"/>
    </x:row>
    <x:row r="24" ht="44" customHeight="1">
      <x:c r="A24" s="75"/>
      <x:c r="B24" s="75"/>
      <x:c r="C24" s="75"/>
      <x:c r="D24" s="77"/>
      <x:c r="E24" s="77"/>
      <x:c r="F24" s="77"/>
      <x:c r="G24" s="77"/>
      <x:c r="H24" s="77"/>
      <x:c r="I24" s="77"/>
      <x:c r="J24" s="77"/>
      <x:c r="K24" s="77"/>
      <x:c r="L24" s="77"/>
      <x:c r="M24" s="77"/>
      <x:c r="N24" s="77"/>
      <x:c r="O24" s="77"/>
      <x:c r="P24" s="78"/>
      <x:c r="Q24" s="76"/>
      <x:c r="R24" s="76"/>
      <x:c r="S24" s="76"/>
      <x:c r="T24" s="76"/>
      <x:c r="U24" s="76"/>
      <x:c r="V24" s="79"/>
      <x:c r="W24" s="79"/>
      <x:c r="X24" s="79"/>
      <x:c r="Y24" s="80"/>
      <x:c r="Z24" s="77"/>
    </x:row>
    <x:row r="25" ht="44" customHeight="1">
      <x:c r="A25" s="75"/>
      <x:c r="B25" s="75"/>
      <x:c r="C25" s="75"/>
      <x:c r="D25" s="77"/>
      <x:c r="E25" s="77"/>
      <x:c r="F25" s="77"/>
      <x:c r="G25" s="77"/>
      <x:c r="H25" s="77"/>
      <x:c r="I25" s="77"/>
      <x:c r="J25" s="77"/>
      <x:c r="K25" s="77"/>
      <x:c r="L25" s="77"/>
      <x:c r="M25" s="77"/>
      <x:c r="N25" s="77"/>
      <x:c r="O25" s="77"/>
      <x:c r="P25" s="78"/>
      <x:c r="Q25" s="76"/>
      <x:c r="R25" s="76"/>
      <x:c r="S25" s="76"/>
      <x:c r="T25" s="76"/>
      <x:c r="U25" s="76"/>
      <x:c r="V25" s="79"/>
      <x:c r="W25" s="79"/>
      <x:c r="X25" s="79"/>
      <x:c r="Y25" s="80"/>
      <x:c r="Z25" s="77"/>
    </x:row>
    <x:row r="26" ht="44" customHeight="1">
      <x:c r="A26" s="75"/>
      <x:c r="B26" s="75"/>
      <x:c r="C26" s="75"/>
      <x:c r="D26" s="77"/>
      <x:c r="E26" s="77"/>
      <x:c r="F26" s="77"/>
      <x:c r="G26" s="77"/>
      <x:c r="H26" s="77"/>
      <x:c r="I26" s="77"/>
      <x:c r="J26" s="77"/>
      <x:c r="K26" s="77"/>
      <x:c r="L26" s="77"/>
      <x:c r="M26" s="77"/>
      <x:c r="N26" s="77"/>
      <x:c r="O26" s="77"/>
      <x:c r="P26" s="78"/>
      <x:c r="Q26" s="76"/>
      <x:c r="R26" s="76"/>
      <x:c r="S26" s="76"/>
      <x:c r="T26" s="76"/>
      <x:c r="U26" s="76"/>
      <x:c r="V26" s="79"/>
      <x:c r="W26" s="79"/>
      <x:c r="X26" s="79"/>
      <x:c r="Y26" s="80"/>
      <x:c r="Z26" s="77"/>
    </x:row>
    <x:row r="27" ht="44" customHeight="1">
      <x:c r="A27" s="75"/>
      <x:c r="B27" s="75"/>
      <x:c r="C27" s="75"/>
      <x:c r="D27" s="77"/>
      <x:c r="E27" s="77"/>
      <x:c r="F27" s="77"/>
      <x:c r="G27" s="77"/>
      <x:c r="H27" s="77"/>
      <x:c r="I27" s="77"/>
      <x:c r="J27" s="77"/>
      <x:c r="K27" s="77"/>
      <x:c r="L27" s="77"/>
      <x:c r="M27" s="77"/>
      <x:c r="N27" s="77"/>
      <x:c r="O27" s="77"/>
      <x:c r="P27" s="78"/>
      <x:c r="Q27" s="76"/>
      <x:c r="R27" s="76"/>
      <x:c r="S27" s="76"/>
      <x:c r="T27" s="76"/>
      <x:c r="U27" s="76"/>
      <x:c r="V27" s="79"/>
      <x:c r="W27" s="79"/>
      <x:c r="X27" s="79"/>
      <x:c r="Y27" s="80"/>
      <x:c r="Z27" s="77"/>
    </x:row>
    <x:row r="28" ht="44" customHeight="1">
      <x:c r="A28" s="75"/>
      <x:c r="B28" s="75"/>
      <x:c r="C28" s="75"/>
      <x:c r="D28" s="77"/>
      <x:c r="E28" s="77"/>
      <x:c r="F28" s="77"/>
      <x:c r="G28" s="77"/>
      <x:c r="H28" s="77"/>
      <x:c r="I28" s="77"/>
      <x:c r="J28" s="77"/>
      <x:c r="K28" s="77"/>
      <x:c r="L28" s="77"/>
      <x:c r="M28" s="77"/>
      <x:c r="N28" s="77"/>
      <x:c r="O28" s="77"/>
      <x:c r="P28" s="78"/>
      <x:c r="Q28" s="76"/>
      <x:c r="R28" s="76"/>
      <x:c r="S28" s="76"/>
      <x:c r="T28" s="76"/>
      <x:c r="U28" s="76"/>
      <x:c r="V28" s="79"/>
      <x:c r="W28" s="79"/>
      <x:c r="X28" s="79"/>
      <x:c r="Y28" s="80"/>
      <x:c r="Z28" s="77"/>
    </x:row>
    <x:row r="29" ht="44" customHeight="1">
      <x:c r="A29" s="75"/>
      <x:c r="B29" s="75"/>
      <x:c r="C29" s="75"/>
      <x:c r="D29" s="77"/>
      <x:c r="E29" s="77"/>
      <x:c r="F29" s="77"/>
      <x:c r="G29" s="77"/>
      <x:c r="H29" s="77"/>
      <x:c r="I29" s="77"/>
      <x:c r="J29" s="77"/>
      <x:c r="K29" s="77"/>
      <x:c r="L29" s="77"/>
      <x:c r="M29" s="77"/>
      <x:c r="N29" s="77"/>
      <x:c r="O29" s="77"/>
      <x:c r="P29" s="78"/>
      <x:c r="Q29" s="76"/>
      <x:c r="R29" s="76"/>
      <x:c r="S29" s="76"/>
      <x:c r="T29" s="76"/>
      <x:c r="U29" s="76"/>
      <x:c r="V29" s="79"/>
      <x:c r="W29" s="79"/>
      <x:c r="X29" s="79"/>
      <x:c r="Y29" s="80"/>
      <x:c r="Z29" s="77"/>
    </x:row>
    <x:row r="30" ht="44" customHeight="1">
      <x:c r="A30" s="75"/>
      <x:c r="B30" s="75"/>
      <x:c r="C30" s="75"/>
      <x:c r="D30" s="77"/>
      <x:c r="E30" s="77"/>
      <x:c r="F30" s="77"/>
      <x:c r="G30" s="77"/>
      <x:c r="H30" s="77"/>
      <x:c r="I30" s="77"/>
      <x:c r="J30" s="77"/>
      <x:c r="K30" s="77"/>
      <x:c r="L30" s="77"/>
      <x:c r="M30" s="77"/>
      <x:c r="N30" s="77"/>
      <x:c r="O30" s="77"/>
      <x:c r="P30" s="78"/>
      <x:c r="Q30" s="76"/>
      <x:c r="R30" s="76"/>
      <x:c r="S30" s="76"/>
      <x:c r="T30" s="76"/>
      <x:c r="U30" s="76"/>
      <x:c r="V30" s="79"/>
      <x:c r="W30" s="79"/>
      <x:c r="X30" s="79"/>
      <x:c r="Y30" s="80"/>
      <x:c r="Z30" s="77"/>
    </x:row>
    <x:row r="31" ht="44" customHeight="1">
      <x:c r="A31" s="75"/>
      <x:c r="B31" s="75"/>
      <x:c r="C31" s="75"/>
      <x:c r="D31" s="77"/>
      <x:c r="E31" s="77"/>
      <x:c r="F31" s="77"/>
      <x:c r="G31" s="77"/>
      <x:c r="H31" s="77"/>
      <x:c r="I31" s="77"/>
      <x:c r="J31" s="77"/>
      <x:c r="K31" s="77"/>
      <x:c r="L31" s="77"/>
      <x:c r="M31" s="77"/>
      <x:c r="N31" s="77"/>
      <x:c r="O31" s="77"/>
      <x:c r="P31" s="78"/>
      <x:c r="Q31" s="76"/>
      <x:c r="R31" s="76"/>
      <x:c r="S31" s="76"/>
      <x:c r="T31" s="76"/>
      <x:c r="U31" s="76"/>
      <x:c r="V31" s="79"/>
      <x:c r="W31" s="79"/>
      <x:c r="X31" s="79"/>
      <x:c r="Y31" s="80"/>
      <x:c r="Z31" s="77"/>
    </x:row>
    <x:row r="32" ht="44" customHeight="1">
      <x:c r="A32" s="75"/>
      <x:c r="B32" s="75"/>
      <x:c r="C32" s="75"/>
      <x:c r="D32" s="77"/>
      <x:c r="E32" s="77"/>
      <x:c r="F32" s="77"/>
      <x:c r="G32" s="77"/>
      <x:c r="H32" s="77"/>
      <x:c r="I32" s="77"/>
      <x:c r="J32" s="77"/>
      <x:c r="K32" s="77"/>
      <x:c r="L32" s="77"/>
      <x:c r="M32" s="77"/>
      <x:c r="N32" s="77"/>
      <x:c r="O32" s="77"/>
      <x:c r="P32" s="78"/>
      <x:c r="Q32" s="76"/>
      <x:c r="R32" s="76"/>
      <x:c r="S32" s="76"/>
      <x:c r="T32" s="76"/>
      <x:c r="U32" s="76"/>
      <x:c r="V32" s="79"/>
      <x:c r="W32" s="79"/>
      <x:c r="X32" s="79"/>
      <x:c r="Y32" s="80"/>
      <x:c r="Z32" s="77"/>
    </x:row>
    <x:row r="33" ht="44" customHeight="1">
      <x:c r="A33" s="75"/>
      <x:c r="B33" s="75"/>
      <x:c r="C33" s="75"/>
      <x:c r="D33" s="77"/>
      <x:c r="E33" s="77"/>
      <x:c r="F33" s="77"/>
      <x:c r="G33" s="77"/>
      <x:c r="H33" s="77"/>
      <x:c r="I33" s="77"/>
      <x:c r="J33" s="77"/>
      <x:c r="K33" s="77"/>
      <x:c r="L33" s="77"/>
      <x:c r="M33" s="77"/>
      <x:c r="N33" s="77"/>
      <x:c r="O33" s="77"/>
      <x:c r="P33" s="78"/>
      <x:c r="Q33" s="76"/>
      <x:c r="R33" s="76"/>
      <x:c r="S33" s="76"/>
      <x:c r="T33" s="76"/>
      <x:c r="U33" s="76"/>
      <x:c r="V33" s="79"/>
      <x:c r="W33" s="79"/>
      <x:c r="X33" s="79"/>
      <x:c r="Y33" s="80"/>
      <x:c r="Z33" s="77"/>
    </x:row>
    <x:row r="34" ht="44" customHeight="1">
      <x:c r="A34" s="75"/>
      <x:c r="B34" s="75"/>
      <x:c r="C34" s="75"/>
      <x:c r="D34" s="77"/>
      <x:c r="E34" s="77"/>
      <x:c r="F34" s="77"/>
      <x:c r="G34" s="77"/>
      <x:c r="H34" s="77"/>
      <x:c r="I34" s="77"/>
      <x:c r="J34" s="77"/>
      <x:c r="K34" s="77"/>
      <x:c r="L34" s="77"/>
      <x:c r="M34" s="77"/>
      <x:c r="N34" s="77"/>
      <x:c r="O34" s="77"/>
      <x:c r="P34" s="78"/>
      <x:c r="Q34" s="76"/>
      <x:c r="R34" s="76"/>
      <x:c r="S34" s="76"/>
      <x:c r="T34" s="76"/>
      <x:c r="U34" s="76"/>
      <x:c r="V34" s="79"/>
      <x:c r="W34" s="79"/>
      <x:c r="X34" s="79"/>
      <x:c r="Y34" s="80"/>
      <x:c r="Z34" s="77"/>
    </x:row>
  </x:sheetData>
  <x:mergeCells>
    <x:mergeCell ref="A1:Z2"/>
    <x:mergeCell ref="A3:Z3"/>
  </x:mergeCells>
  <x:conditionalFormatting sqref="B5:B34">
    <x:cfRule type="containsText" dxfId="0" priority="1" operator="containsText" text="Veröffentlicht"/>
    <x:cfRule type="containsText" dxfId="1" priority="2" operator="containsText" text="Freigegeben"/>
    <x:cfRule type="containsText" dxfId="2" priority="3" operator="containsText" text="Pausiert"/>
  </x:conditionalFormatting>
  <x:conditionalFormatting sqref="C5:C34">
    <x:cfRule type="containsText" dxfId="3" priority="4" operator="containsText" text="JA"/>
  </x:conditionalFormatting>
  <x:dataValidations count="3">
    <x:dataValidation type="list" sqref="B5:B34">
      <x:formula1>Listen!$A$2:$A$11</x:formula1>
    </x:dataValidation>
    <x:dataValidation type="list" sqref="C5:C34">
      <x:formula1>Listen!$B$2:$B$3</x:formula1>
    </x:dataValidation>
    <x:dataValidation type="list" sqref="E5:E34">
      <x:formula1>Listen!$C$2:$C$6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b5e19e204134e2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8" hidden="0" customWidth="1"/>
    <x:col min="3" max="3" width="16" hidden="0" customWidth="1"/>
    <x:col min="4" max="4" width="16" hidden="0" customWidth="1"/>
    <x:col min="5" max="5" width="18" hidden="0" customWidth="1"/>
    <x:col min="6" max="6" width="21" hidden="0" customWidth="1"/>
    <x:col min="7" max="7" width="21" hidden="0" customWidth="1"/>
    <x:col min="8" max="8" width="16" hidden="0" customWidth="1"/>
  </x:cols>
  <x:sheetData>
    <x:row r="1" ht="28" customHeight="1">
      <x:c r="A1" s="67" t="str">
        <x:v>SetupKlar · Überblick</x:v>
      </x:c>
      <x:c r="B1" s="67"/>
      <x:c r="C1" s="67"/>
      <x:c r="D1" s="67"/>
      <x:c r="E1" s="67"/>
      <x:c r="F1" s="67"/>
      <x:c r="G1" s="67"/>
      <x:c r="H1" s="67"/>
    </x:row>
    <x:row r="2" ht="28" customHeight="1">
      <x:c r="A2" s="67"/>
      <x:c r="B2" s="67"/>
      <x:c r="C2" s="67"/>
      <x:c r="D2" s="67"/>
      <x:c r="E2" s="67"/>
      <x:c r="F2" s="67"/>
      <x:c r="G2" s="67"/>
      <x:c r="H2" s="67"/>
    </x:row>
    <x:row r="4" ht="26" customHeight="1">
      <x:c r="A4" s="96" t="str">
        <x:v>Inhalte gesamt</x:v>
      </x:c>
      <x:c r="B4" s="97"/>
      <x:c r="C4" s="102" t="str">
        <x:v>In Arbeit</x:v>
      </x:c>
      <x:c r="D4" s="103"/>
      <x:c r="E4" s="108" t="str">
        <x:v>Veröffentlicht</x:v>
      </x:c>
      <x:c r="F4" s="109"/>
      <x:c r="G4" s="114" t="str">
        <x:v>Umsatz</x:v>
      </x:c>
      <x:c r="H4" s="115"/>
    </x:row>
    <x:row r="5" ht="30" customHeight="1">
      <x:c r="A5" s="140" t="n">
        <x:f>COUNTA('Content-Pipeline'!$A$5:$A$34)</x:f>
        <x:v>0</x:v>
      </x:c>
      <x:c r="B5" s="141"/>
      <x:c r="C5" s="140" t="n">
        <x:f>COUNTIFS('Content-Pipeline'!$B$5:$B$34,"&lt;&gt;",'Content-Pipeline'!$B$5:$B$34,"&lt;&gt;Veröffentlicht",'Content-Pipeline'!$B$5:$B$34,"&lt;&gt;Pausiert")</x:f>
        <x:v>0</x:v>
      </x:c>
      <x:c r="D5" s="141"/>
      <x:c r="E5" s="140" t="n">
        <x:f>COUNTIF('Content-Pipeline'!$B$5:$B$34,"Veröffentlicht")</x:f>
        <x:v>0</x:v>
      </x:c>
      <x:c r="F5" s="141"/>
      <x:c r="G5" s="142" t="n">
        <x:f>SUM('Content-Pipeline'!$Y$5:$Y$34)</x:f>
        <x:v>0</x:v>
      </x:c>
      <x:c r="H5" s="143"/>
    </x:row>
    <x:row r="6" ht="30" customHeight="1">
      <x:c r="A6" s="144"/>
      <x:c r="B6" s="145"/>
      <x:c r="C6" s="144"/>
      <x:c r="D6" s="145"/>
      <x:c r="E6" s="144"/>
      <x:c r="F6" s="145"/>
      <x:c r="G6" s="146"/>
      <x:c r="H6" s="147"/>
    </x:row>
    <x:row r="9" ht="26" customHeight="1">
      <x:c r="A9" s="148" t="str">
        <x:v>Pipeline nach Status</x:v>
      </x:c>
      <x:c r="B9" s="148"/>
      <x:c r="C9" s="148"/>
      <x:c r="D9" s="148"/>
      <x:c r="F9" s="65" t="str">
        <x:v>Leistung</x:v>
      </x:c>
      <x:c r="G9" s="65"/>
      <x:c r="H9" s="65"/>
    </x:row>
    <x:row r="10" ht="28" customHeight="1">
      <x:c r="A10" s="154" t="str">
        <x:v>Idee</x:v>
      </x:c>
      <x:c r="B10" s="155" t="n">
        <x:f>COUNTIF('Content-Pipeline'!$B$5:$B$34,"Idee")</x:f>
        <x:v>0</x:v>
      </x:c>
      <x:c r="C10" s="156" t="str">
        <x:f>IF($B10=0,"",REPT("■",MIN($B10,20)))</x:f>
      </x:c>
      <x:c r="D10" s="156"/>
      <x:c r="F10" s="20" t="str">
        <x:v>Views nach 7 Tagen</x:v>
      </x:c>
      <x:c r="G10" s="20"/>
      <x:c r="H10" s="171" t="n">
        <x:f>SUM('Content-Pipeline'!$W$5:$W$34)</x:f>
        <x:v>0</x:v>
      </x:c>
    </x:row>
    <x:row r="11" ht="28" customHeight="1">
      <x:c r="A11" s="157" t="str">
        <x:v>Recherche</x:v>
      </x:c>
      <x:c r="B11" s="158" t="n">
        <x:f>COUNTIF('Content-Pipeline'!$B$5:$B$34,"Recherche")</x:f>
        <x:v>0</x:v>
      </x:c>
      <x:c r="C11" s="159" t="str">
        <x:f>IF($B11=0,"",REPT("■",MIN($B11,20)))</x:f>
      </x:c>
      <x:c r="D11" s="159"/>
      <x:c r="F11" s="23" t="str">
        <x:v>Klicks</x:v>
      </x:c>
      <x:c r="G11" s="23"/>
      <x:c r="H11" s="172" t="n">
        <x:f>SUM('Content-Pipeline'!$X$5:$X$34)</x:f>
        <x:v>0</x:v>
      </x:c>
    </x:row>
    <x:row r="12" ht="28" customHeight="1">
      <x:c r="A12" s="157" t="str">
        <x:v>Skript bereit</x:v>
      </x:c>
      <x:c r="B12" s="158" t="n">
        <x:f>COUNTIF('Content-Pipeline'!$B$5:$B$34,"Skript bereit")</x:f>
        <x:v>0</x:v>
      </x:c>
      <x:c r="C12" s="159" t="str">
        <x:f>IF($B12=0,"",REPT("■",MIN($B12,20)))</x:f>
      </x:c>
      <x:c r="D12" s="159"/>
      <x:c r="F12" s="23" t="str">
        <x:v>Ø Views je veröffentlichtem Video</x:v>
      </x:c>
      <x:c r="G12" s="23"/>
      <x:c r="H12" s="172" t="n">
        <x:f>IFERROR(H10/E5,0)</x:f>
        <x:v>0</x:v>
      </x:c>
    </x:row>
    <x:row r="13" ht="28" customHeight="1">
      <x:c r="A13" s="157" t="str">
        <x:v>Freigegeben</x:v>
      </x:c>
      <x:c r="B13" s="158" t="n">
        <x:f>COUNTIF('Content-Pipeline'!$B$5:$B$34,"Freigegeben")</x:f>
        <x:v>0</x:v>
      </x:c>
      <x:c r="C13" s="159" t="str">
        <x:f>IF($B13=0,"",REPT("■",MIN($B13,20)))</x:f>
      </x:c>
      <x:c r="D13" s="159"/>
      <x:c r="F13" s="173" t="str">
        <x:v>Klickrate</x:v>
      </x:c>
      <x:c r="G13" s="173"/>
      <x:c r="H13" s="174" t="n">
        <x:f>IFERROR(H11/H10,0)</x:f>
        <x:v>0</x:v>
      </x:c>
    </x:row>
    <x:row r="14" ht="28" customHeight="1">
      <x:c r="A14" s="157" t="str">
        <x:v>Stimme erstellt</x:v>
      </x:c>
      <x:c r="B14" s="158" t="n">
        <x:f>COUNTIF('Content-Pipeline'!$B$5:$B$34,"Stimme erstellt")</x:f>
        <x:v>0</x:v>
      </x:c>
      <x:c r="C14" s="159" t="str">
        <x:f>IF($B14=0,"",REPT("■",MIN($B14,20)))</x:f>
      </x:c>
      <x:c r="D14" s="159"/>
    </x:row>
    <x:row r="15" ht="28" customHeight="1">
      <x:c r="A15" s="157" t="str">
        <x:v>Video in Arbeit</x:v>
      </x:c>
      <x:c r="B15" s="158" t="n">
        <x:f>COUNTIF('Content-Pipeline'!$B$5:$B$34,"Video in Arbeit")</x:f>
        <x:v>0</x:v>
      </x:c>
      <x:c r="C15" s="159" t="str">
        <x:f>IF($B15=0,"",REPT("■",MIN($B15,20)))</x:f>
      </x:c>
      <x:c r="D15" s="159"/>
      <x:c r="F15" s="175" t="str">
        <x:v>Hinweis</x:v>
      </x:c>
      <x:c r="G15" s="175"/>
      <x:c r="H15" s="175"/>
    </x:row>
    <x:row r="16" ht="28" customHeight="1">
      <x:c r="A16" s="157" t="str">
        <x:v>Prüfung</x:v>
      </x:c>
      <x:c r="B16" s="158" t="n">
        <x:f>COUNTIF('Content-Pipeline'!$B$5:$B$34,"Prüfung")</x:f>
        <x:v>0</x:v>
      </x:c>
      <x:c r="C16" s="159" t="str">
        <x:f>IF($B16=0,"",REPT("■",MIN($B16,20)))</x:f>
      </x:c>
      <x:c r="D16" s="159"/>
      <x:c r="F16" s="46" t="str">
        <x:v>Kennzahlen erst nach 24 Stunden beziehungsweise 7 Tagen eintragen. Umsatz ist der tatsächlich zugeordnete Affiliate-Umsatz, nicht der Warenkorbwert.</x:v>
      </x:c>
      <x:c r="G16" s="47"/>
      <x:c r="H16" s="48"/>
    </x:row>
    <x:row r="17" ht="28" customHeight="1">
      <x:c r="A17" s="157" t="str">
        <x:v>Geplant</x:v>
      </x:c>
      <x:c r="B17" s="158" t="n">
        <x:f>COUNTIF('Content-Pipeline'!$B$5:$B$34,"Geplant")</x:f>
        <x:v>0</x:v>
      </x:c>
      <x:c r="C17" s="159" t="str">
        <x:f>IF($B17=0,"",REPT("■",MIN($B17,20)))</x:f>
      </x:c>
      <x:c r="D17" s="159"/>
      <x:c r="F17" s="49"/>
      <x:c r="G17" s="50"/>
      <x:c r="H17" s="51"/>
    </x:row>
    <x:row r="18" ht="28" customHeight="1">
      <x:c r="A18" s="160" t="str">
        <x:v>Veröffentlicht</x:v>
      </x:c>
      <x:c r="B18" s="161" t="n">
        <x:f>COUNTIF('Content-Pipeline'!$B$5:$B$34,"Veröffentlicht")</x:f>
        <x:v>0</x:v>
      </x:c>
      <x:c r="C18" s="162" t="str">
        <x:f>IF($B18=0,"",REPT("■",MIN($B18,20)))</x:f>
      </x:c>
      <x:c r="D18" s="162"/>
      <x:c r="F18" s="52"/>
      <x:c r="G18" s="53"/>
      <x:c r="H18" s="54"/>
    </x:row>
  </x:sheetData>
  <x:mergeCells>
    <x:mergeCell ref="A1:H2"/>
    <x:mergeCell ref="A4:B4"/>
    <x:mergeCell ref="C4:D4"/>
    <x:mergeCell ref="E4:F4"/>
    <x:mergeCell ref="G4:H4"/>
    <x:mergeCell ref="A5:B6"/>
    <x:mergeCell ref="C5:D6"/>
    <x:mergeCell ref="E5:F6"/>
    <x:mergeCell ref="G5:H6"/>
    <x:mergeCell ref="A9:D9"/>
    <x:mergeCell ref="C10:D10"/>
    <x:mergeCell ref="C11:D11"/>
    <x:mergeCell ref="C12:D12"/>
    <x:mergeCell ref="C13:D13"/>
    <x:mergeCell ref="C14:D14"/>
    <x:mergeCell ref="C15:D15"/>
    <x:mergeCell ref="C16:D16"/>
    <x:mergeCell ref="C17:D17"/>
    <x:mergeCell ref="C18:D18"/>
    <x:mergeCell ref="F9:H9"/>
    <x:mergeCell ref="F15:H15"/>
    <x:mergeCell ref="F16:H18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</x:cols>
  <x:sheetData>
    <x:row r="1">
      <x:c r="A1" s="65" t="str">
        <x:v>Status</x:v>
      </x:c>
      <x:c r="B1" s="65" t="str">
        <x:v>Freigabe</x:v>
      </x:c>
      <x:c r="C1" s="65" t="str">
        <x:v>Content-Säule</x:v>
      </x:c>
      <x:c r="D1" s="65" t="str">
        <x:v>Zielplattformen</x:v>
      </x:c>
    </x:row>
    <x:row r="2">
      <x:c r="A2" s="16" t="str">
        <x:v>Idee</x:v>
      </x:c>
      <x:c r="B2" s="16" t="str">
        <x:v>NEIN</x:v>
      </x:c>
      <x:c r="C2" s="16" t="str">
        <x:v>Desk</x:v>
      </x:c>
      <x:c r="D2" s="16" t="str">
        <x:v>Alle drei</x:v>
      </x:c>
    </x:row>
    <x:row r="3">
      <x:c r="A3" s="16" t="str">
        <x:v>Recherche</x:v>
      </x:c>
      <x:c r="B3" s="16" t="str">
        <x:v>JA</x:v>
      </x:c>
      <x:c r="C3" s="16" t="str">
        <x:v>Home</x:v>
      </x:c>
      <x:c r="D3" s="16" t="str">
        <x:v>TikTok</x:v>
      </x:c>
    </x:row>
    <x:row r="4">
      <x:c r="A4" s="16" t="str">
        <x:v>Skript bereit</x:v>
      </x:c>
      <x:c r="B4" s="16"/>
      <x:c r="C4" s="16" t="str">
        <x:v>Travel</x:v>
      </x:c>
      <x:c r="D4" s="16" t="str">
        <x:v>Instagram</x:v>
      </x:c>
    </x:row>
    <x:row r="5">
      <x:c r="A5" s="16" t="str">
        <x:v>Freigegeben</x:v>
      </x:c>
      <x:c r="B5" s="16"/>
      <x:c r="C5" s="16" t="str">
        <x:v>Produktvergleich</x:v>
      </x:c>
      <x:c r="D5" s="16" t="str">
        <x:v>YouTube</x:v>
      </x:c>
    </x:row>
    <x:row r="6">
      <x:c r="A6" s="16" t="str">
        <x:v>Stimme erstellt</x:v>
      </x:c>
      <x:c r="B6" s="16"/>
      <x:c r="C6" s="16" t="str">
        <x:v>Alltagstechnik</x:v>
      </x:c>
      <x:c r="D6" s="16"/>
    </x:row>
    <x:row r="7">
      <x:c r="A7" s="16" t="str">
        <x:v>Video in Arbeit</x:v>
      </x:c>
      <x:c r="B7" s="16"/>
      <x:c r="C7" s="16"/>
      <x:c r="D7" s="16"/>
    </x:row>
    <x:row r="8">
      <x:c r="A8" s="16" t="str">
        <x:v>Prüfung</x:v>
      </x:c>
      <x:c r="B8" s="16"/>
      <x:c r="C8" s="16"/>
      <x:c r="D8" s="16"/>
    </x:row>
    <x:row r="9">
      <x:c r="A9" s="16" t="str">
        <x:v>Geplant</x:v>
      </x:c>
      <x:c r="B9" s="16"/>
      <x:c r="C9" s="16"/>
      <x:c r="D9" s="16"/>
    </x:row>
    <x:row r="10">
      <x:c r="A10" s="16" t="str">
        <x:v>Veröffentlicht</x:v>
      </x:c>
      <x:c r="B10" s="16"/>
      <x:c r="C10" s="16"/>
      <x:c r="D10" s="16"/>
    </x:row>
    <x:row r="11">
      <x:c r="A11" s="16" t="str">
        <x:v>Pausiert</x:v>
      </x:c>
      <x:c r="B11" s="16"/>
      <x:c r="C11" s="16"/>
      <x:c r="D11" s="16"/>
    </x:row>
  </x:sheetData>
  <x:pageMargins left="0.7" right="0.7" top="0.75" bottom="0.75" header="0.3" footer="0.3"/>
</x:worksheet>
</file>